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puts" sheetId="1" r:id="rId1"/>
    <sheet name="Monthly" sheetId="2" r:id="rId2"/>
    <sheet name="Annual" sheetId="3" r:id="rId3"/>
    <sheet name="Summary" sheetId="4" r:id="rId4"/>
    <sheet name="UnitEconomics" sheetId="5" r:id="rId5"/>
    <sheet name="CLV" sheetId="6" r:id="rId6"/>
    <sheet name="Checks" sheetId="7" r:id="rId7"/>
    <sheet name="Scenarios" sheetId="8" r:id="rId8"/>
    <sheet name="Tornado" sheetId="9" r:id="rId9"/>
    <sheet name="ReadMe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60" formatCode="&quot;$&quot;#,##0;[Red]-&quot;$&quot;#,##0"/>
    <numFmt numFmtId="61" formatCode="0.0%"/>
    <numFmt numFmtId="62" formatCode="0.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NumberFormat="1"/>
    <xf numFmtId="60" fontId="0" fillId="0" borderId="0" xfId="0" applyNumberFormat="1"/>
    <xf numFmtId="1" fontId="0" fillId="0" borderId="0" xfId="0" applyNumberFormat="1"/>
    <xf numFmtId="61" fontId="0" fillId="0" borderId="0" xfId="0" applyNumberFormat="1"/>
    <xf numFmtId="4" fontId="0" fillId="0" borderId="0" xfId="0" applyNumberFormat="1"/>
    <xf numFmtId="6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4"/>
  <sheetViews>
    <sheetView workbookViewId="0"/>
  </sheetViews>
  <cols>
    <col min="1" max="1" width="48.83203125" customWidth="1"/>
    <col min="2" max="2" width="18.83203125" customWidth="1"/>
    <col min="3" max="3" width="18.83203125" customWidth="1"/>
    <col min="4" max="4" width="40.83203125" customWidth="1"/>
    <col min="5" max="5" width="28.83203125" customWidth="1"/>
    <col min="6" max="6" width="10.83203125" customWidth="1"/>
  </cols>
  <sheetData>
    <row r="1">
      <c r="A1" t="str">
        <v>Input</v>
      </c>
      <c r="B1" t="str">
        <v>Value</v>
      </c>
      <c r="C1" t="str">
        <v>Unit</v>
      </c>
      <c r="D1" t="str">
        <v>Basis</v>
      </c>
      <c r="E1" t="str">
        <v>Key</v>
      </c>
      <c r="F1" t="str">
        <v>Sensitivity rank</v>
      </c>
    </row>
    <row r="2">
      <c r="A2" t="str">
        <v>PEOPLE</v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>Principal Advisor fully loaded cost</v>
      </c>
      <c r="B3" s="1">
        <v>265000</v>
      </c>
      <c r="C3" t="str">
        <v>$/yr</v>
      </c>
      <c r="D3" t="str">
        <v>Brief default; bounded by Glassdoor Principal Security Consultant total pay (~$262K) plus BLS 30.1% benefits load (sources 16A, 16D)</v>
      </c>
      <c r="E3" t="str">
        <v>principalLoadedCost</v>
      </c>
      <c r="F3">
        <v>5</v>
      </c>
    </row>
    <row r="4">
      <c r="A4" t="str">
        <v>Senior Advisor fully loaded cost</v>
      </c>
      <c r="B4" s="1">
        <v>215000</v>
      </c>
      <c r="C4" t="str">
        <v>$/yr</v>
      </c>
      <c r="D4" t="str">
        <v>Brief default; consistent with Glassdoor Principal Cyber Security Consultant average (~$233K) less bonus tier (source 16A)</v>
      </c>
      <c r="E4" t="str">
        <v>seniorLoadedCost</v>
      </c>
      <c r="F4">
        <v>12</v>
      </c>
    </row>
    <row r="5">
      <c r="A5" t="str">
        <v>Advisors at launch</v>
      </c>
      <c r="B5" s="2">
        <v>2</v>
      </c>
      <c r="C5" t="str">
        <v>people</v>
      </c>
      <c r="D5" t="str">
        <v>Brief: two Principal Advisors on month 1</v>
      </c>
      <c r="E5" t="str">
        <v>startingAdvisors</v>
      </c>
      <c r="F5" t="str">
        <v/>
      </c>
    </row>
    <row r="6">
      <c r="A6" t="str">
        <v>Billable hours per advisor per year</v>
      </c>
      <c r="B6" s="2">
        <v>1880</v>
      </c>
      <c r="C6" t="str">
        <v>hours</v>
      </c>
      <c r="D6" t="str">
        <v>Brief default (1,880)</v>
      </c>
      <c r="E6" t="str">
        <v>billableHoursPerYear</v>
      </c>
      <c r="F6" t="str">
        <v/>
      </c>
    </row>
    <row r="7">
      <c r="A7" t="str">
        <v>Utilization, months 1-3</v>
      </c>
      <c r="B7" s="3">
        <v>0.35</v>
      </c>
      <c r="C7" t="str">
        <v>%</v>
      </c>
      <c r="D7" t="str">
        <v>Brief default</v>
      </c>
      <c r="E7" t="str">
        <v>utilMonths1to3</v>
      </c>
      <c r="F7" t="str">
        <v/>
      </c>
    </row>
    <row r="8">
      <c r="A8" t="str">
        <v>Utilization, months 4-6</v>
      </c>
      <c r="B8" s="3">
        <v>0.55</v>
      </c>
      <c r="C8" t="str">
        <v>%</v>
      </c>
      <c r="D8" t="str">
        <v>Brief default</v>
      </c>
      <c r="E8" t="str">
        <v>utilMonths4to6</v>
      </c>
      <c r="F8" t="str">
        <v/>
      </c>
    </row>
    <row r="9">
      <c r="A9" t="str">
        <v>Utilization, months 7-12</v>
      </c>
      <c r="B9" s="3">
        <v>0.7</v>
      </c>
      <c r="C9" t="str">
        <v>%</v>
      </c>
      <c r="D9" t="str">
        <v>Brief default</v>
      </c>
      <c r="E9" t="str">
        <v>utilMonths7to12</v>
      </c>
      <c r="F9" t="str">
        <v/>
      </c>
    </row>
    <row r="10">
      <c r="A10" t="str">
        <v>Utilization, steady state</v>
      </c>
      <c r="B10" s="3">
        <v>0.75</v>
      </c>
      <c r="C10" t="str">
        <v>%</v>
      </c>
      <c r="D10" t="str">
        <v>Brief default</v>
      </c>
      <c r="E10" t="str">
        <v>utilSteadyState</v>
      </c>
      <c r="F10">
        <v>3</v>
      </c>
    </row>
    <row r="11">
      <c r="A11" t="str">
        <v>Hiring trigger: trailing 3-month utilization at or above</v>
      </c>
      <c r="B11" s="3">
        <v>0.75</v>
      </c>
      <c r="C11" t="str">
        <v>%</v>
      </c>
      <c r="D11" t="str">
        <v>Brief default (75%); implemented as an inclusive threshold (DECISIONS #8)</v>
      </c>
      <c r="E11" t="str">
        <v>hireUtilThreshold</v>
      </c>
      <c r="F11" t="str">
        <v/>
      </c>
    </row>
    <row r="12">
      <c r="A12" t="str">
        <v>Hiring trigger: backlog above</v>
      </c>
      <c r="B12" s="4">
        <v>8</v>
      </c>
      <c r="C12" t="str">
        <v>weeks</v>
      </c>
      <c r="D12" t="str">
        <v>Brief default (8 weeks)</v>
      </c>
      <c r="E12" t="str">
        <v>hireBacklogWeeks</v>
      </c>
      <c r="F12">
        <v>18</v>
      </c>
    </row>
    <row r="13">
      <c r="A13" t="str">
        <v>Advisor headcount cap</v>
      </c>
      <c r="B13" s="2">
        <v>6</v>
      </c>
      <c r="C13" t="str">
        <v>people</v>
      </c>
      <c r="D13" t="str">
        <v>Brief default (6 by end of Year 3)</v>
      </c>
      <c r="E13" t="str">
        <v>maxAdvisors</v>
      </c>
      <c r="F13">
        <v>17</v>
      </c>
    </row>
    <row r="14">
      <c r="A14" t="str">
        <v>Recruiting lag from decision to start</v>
      </c>
      <c r="B14" s="2">
        <v>2</v>
      </c>
      <c r="C14" t="str">
        <v>months</v>
      </c>
      <c r="D14" t="str">
        <v>ASSUMPTION: 2 months, typical time-to-fill for senior security consultants (DECISIONS #9)</v>
      </c>
      <c r="E14" t="str">
        <v>hireLagMonths</v>
      </c>
      <c r="F14" t="str">
        <v/>
      </c>
    </row>
    <row r="15">
      <c r="A15" t="str">
        <v>Cooldown between hire decisions</v>
      </c>
      <c r="B15" s="2">
        <v>3</v>
      </c>
      <c r="C15" t="str">
        <v>months</v>
      </c>
      <c r="D15" t="str">
        <v>ASSUMPTION: 3 months so one backlog spike does not trigger serial hires (DECISIONS #9)</v>
      </c>
      <c r="E15" t="str">
        <v>hireCooldownMonths</v>
      </c>
      <c r="F15" t="str">
        <v/>
      </c>
    </row>
    <row r="16">
      <c r="A16" t="str">
        <v>New-hire ramp length</v>
      </c>
      <c r="B16" s="2">
        <v>2</v>
      </c>
      <c r="C16" t="str">
        <v>months</v>
      </c>
      <c r="D16" t="str">
        <v>ASSUMPTION: Hires joining an existing backlog ramp in 2 months (DECISIONS #7)</v>
      </c>
      <c r="E16" t="str">
        <v>newHireRampMonths</v>
      </c>
      <c r="F16" t="str">
        <v/>
      </c>
    </row>
    <row r="17">
      <c r="A17" t="str">
        <v>New-hire utilization during ramp</v>
      </c>
      <c r="B17" s="3">
        <v>0.5</v>
      </c>
      <c r="C17" t="str">
        <v>%</v>
      </c>
      <c r="D17" t="str">
        <v>ASSUMPTION: 50% during the new-hire ramp (DECISIONS #7)</v>
      </c>
      <c r="E17" t="str">
        <v>newHireRampUtil</v>
      </c>
      <c r="F17" t="str">
        <v/>
      </c>
    </row>
    <row r="18">
      <c r="A18" t="str">
        <v>Practice lead allocation (Partner Architect at 25%)</v>
      </c>
      <c r="B18" s="1">
        <v>70000</v>
      </c>
      <c r="C18" t="str">
        <v>$/yr</v>
      </c>
      <c r="D18" t="str">
        <v>Brief default ($70,000)</v>
      </c>
      <c r="E18" t="str">
        <v>practiceLeadAllocation</v>
      </c>
      <c r="F18" t="str">
        <v/>
      </c>
    </row>
    <row r="19">
      <c r="A19" t="str">
        <v>Internal bench capacity for surge</v>
      </c>
      <c r="B19" s="4">
        <v>240</v>
      </c>
      <c r="C19" t="str">
        <v>hours/month</v>
      </c>
      <c r="D19" t="str">
        <v>ASSUMPTION: 240 hours/month from Optiv AppSec and Cyber Strategy bench (DECISIONS #11)</v>
      </c>
      <c r="E19" t="str">
        <v>benchMaxHoursPerMonth</v>
      </c>
      <c r="F19">
        <v>9</v>
      </c>
    </row>
    <row r="20">
      <c r="A20" t="str">
        <v>Internal bench transfer cost</v>
      </c>
      <c r="B20" s="1">
        <v>165</v>
      </c>
      <c r="C20" t="str">
        <v>$/hour</v>
      </c>
      <c r="D20" t="str">
        <v>ASSUMPTION: $165/hour internal transfer rate (DECISIONS #11)</v>
      </c>
      <c r="E20" t="str">
        <v>benchCostPerHour</v>
      </c>
      <c r="F20" t="str">
        <v/>
      </c>
    </row>
    <row r="21">
      <c r="A21" t="str">
        <v>Bench available from month</v>
      </c>
      <c r="B21" s="2">
        <v>4</v>
      </c>
      <c r="C21" t="str">
        <v>month</v>
      </c>
      <c r="D21" t="str">
        <v>ASSUMPTION: Month 4, after playbooks exist for bench consultants to follow</v>
      </c>
      <c r="E21" t="str">
        <v>benchStartMonth</v>
      </c>
      <c r="F21" t="str">
        <v/>
      </c>
    </row>
    <row r="22">
      <c r="A22" t="str">
        <v>Bench engaged when backlog exceeds</v>
      </c>
      <c r="B22" s="4">
        <v>2</v>
      </c>
      <c r="C22" t="str">
        <v>weeks</v>
      </c>
      <c r="D22" t="str">
        <v>ASSUMPTION: 2 weeks of backlog</v>
      </c>
      <c r="E22" t="str">
        <v>benchTriggerBacklogWeeks</v>
      </c>
      <c r="F22" t="str">
        <v/>
      </c>
    </row>
    <row r="23">
      <c r="A23" t="str">
        <v>OVERHEAD</v>
      </c>
      <c r="B23" t="str">
        <v/>
      </c>
      <c r="C23" t="str">
        <v/>
      </c>
      <c r="D23" t="str">
        <v/>
      </c>
      <c r="E23" t="str">
        <v/>
      </c>
      <c r="F23" t="str">
        <v/>
      </c>
    </row>
    <row r="24">
      <c r="A24" t="str">
        <v>Sales/SE overhead allocation</v>
      </c>
      <c r="B24" s="3">
        <v>0.12</v>
      </c>
      <c r="C24" t="str">
        <v>% of net revenue</v>
      </c>
      <c r="D24" t="str">
        <v>Brief default (12%)</v>
      </c>
      <c r="E24" t="str">
        <v>salesOverheadPct</v>
      </c>
      <c r="F24">
        <v>7</v>
      </c>
    </row>
    <row r="25">
      <c r="A25" t="str">
        <v>Marketing / MDF, Year 1</v>
      </c>
      <c r="B25" s="1">
        <v>60000</v>
      </c>
      <c r="C25" t="str">
        <v>$</v>
      </c>
      <c r="D25" t="str">
        <v>Brief default</v>
      </c>
      <c r="E25" t="str">
        <v>marketingYear1</v>
      </c>
      <c r="F25" t="str">
        <v/>
      </c>
    </row>
    <row r="26">
      <c r="A26" t="str">
        <v>Marketing / MDF, Year 2</v>
      </c>
      <c r="B26" s="1">
        <v>90000</v>
      </c>
      <c r="C26" t="str">
        <v>$</v>
      </c>
      <c r="D26" t="str">
        <v>Brief default</v>
      </c>
      <c r="E26" t="str">
        <v>marketingYear2</v>
      </c>
      <c r="F26" t="str">
        <v/>
      </c>
    </row>
    <row r="27">
      <c r="A27" t="str">
        <v>Marketing / MDF, Year 3</v>
      </c>
      <c r="B27" s="1">
        <v>120000</v>
      </c>
      <c r="C27" t="str">
        <v>$</v>
      </c>
      <c r="D27" t="str">
        <v>Brief default</v>
      </c>
      <c r="E27" t="str">
        <v>marketingYear3</v>
      </c>
      <c r="F27" t="str">
        <v/>
      </c>
    </row>
    <row r="28">
      <c r="A28" t="str">
        <v>Training and certification per advisor</v>
      </c>
      <c r="B28" s="1">
        <v>18000</v>
      </c>
      <c r="C28" t="str">
        <v>$/yr</v>
      </c>
      <c r="D28" t="str">
        <v>Brief default ($18,000)</v>
      </c>
      <c r="E28" t="str">
        <v>trainingPerAdvisor</v>
      </c>
      <c r="F28" t="str">
        <v/>
      </c>
    </row>
    <row r="29">
      <c r="A29" t="str">
        <v>Travel</v>
      </c>
      <c r="B29" s="3">
        <v>0.06</v>
      </c>
      <c r="C29" t="str">
        <v>% of net revenue</v>
      </c>
      <c r="D29" t="str">
        <v>Brief default (6%)</v>
      </c>
      <c r="E29" t="str">
        <v>travelPct</v>
      </c>
      <c r="F29" t="str">
        <v/>
      </c>
    </row>
    <row r="30">
      <c r="A30" t="str">
        <v>Tooling, lab, Falcon IQ partner sandbox</v>
      </c>
      <c r="B30" s="1">
        <v>36000</v>
      </c>
      <c r="C30" t="str">
        <v>$/yr</v>
      </c>
      <c r="D30" t="str">
        <v>Brief default ($36,000); CrowdStrike has not published sandbox pricing</v>
      </c>
      <c r="E30" t="str">
        <v>toolingPerYear</v>
      </c>
      <c r="F30" t="str">
        <v/>
      </c>
    </row>
    <row r="31">
      <c r="A31" t="str">
        <v>Insurance / legal for remediation liability</v>
      </c>
      <c r="B31" s="1">
        <v>45000</v>
      </c>
      <c r="C31" t="str">
        <v>$/yr</v>
      </c>
      <c r="D31" t="str">
        <v>Brief default ($45,000)</v>
      </c>
      <c r="E31" t="str">
        <v>insuranceLegalPerYear</v>
      </c>
      <c r="F31" t="str">
        <v/>
      </c>
    </row>
    <row r="32">
      <c r="A32" t="str">
        <v>PRICING</v>
      </c>
      <c r="B32" t="str">
        <v/>
      </c>
      <c r="C32" t="str">
        <v/>
      </c>
      <c r="D32" t="str">
        <v/>
      </c>
      <c r="E32" t="str">
        <v/>
      </c>
      <c r="F32" t="str">
        <v/>
      </c>
    </row>
    <row r="33">
      <c r="A33" t="str">
        <v>Readiness Assessment fixed fee</v>
      </c>
      <c r="B33" s="1">
        <v>85000</v>
      </c>
      <c r="C33" t="str">
        <v>$</v>
      </c>
      <c r="D33" t="str">
        <v>Brief default; sits inside the $40K-$120K red-team and $15K-$50K gap-assessment bands (source 15B) at a 4-week, principal-led scope</v>
      </c>
      <c r="E33" t="str">
        <v>assessmentPrice</v>
      </c>
      <c r="F33">
        <v>10</v>
      </c>
    </row>
    <row r="34">
      <c r="A34" t="str">
        <v>Prioritization &amp; Attack Narrative Sprint fixed fee</v>
      </c>
      <c r="B34" s="1">
        <v>140000</v>
      </c>
      <c r="C34" t="str">
        <v>$</v>
      </c>
      <c r="D34" t="str">
        <v>Brief default; 430 hours at ~$325/hr (source 15A upper band)</v>
      </c>
      <c r="E34" t="str">
        <v>sprintPrice</v>
      </c>
      <c r="F34">
        <v>8</v>
      </c>
    </row>
    <row r="35">
      <c r="A35" t="str">
        <v>Remediation Program retainer, Tier 1</v>
      </c>
      <c r="B35" s="1">
        <v>22000</v>
      </c>
      <c r="C35" t="str">
        <v>$/month</v>
      </c>
      <c r="D35" t="str">
        <v>Brief default; comparable to the $9K-$30K vCISO retainer band (source 15B) with engineering scope</v>
      </c>
      <c r="E35" t="str">
        <v>retainerTier1Monthly</v>
      </c>
      <c r="F35">
        <v>4</v>
      </c>
    </row>
    <row r="36">
      <c r="A36" t="str">
        <v>Remediation Program retainer, Tier 2</v>
      </c>
      <c r="B36" s="1">
        <v>38000</v>
      </c>
      <c r="C36" t="str">
        <v>$/month</v>
      </c>
      <c r="D36" t="str">
        <v>Brief default</v>
      </c>
      <c r="E36" t="str">
        <v>retainerTier2Monthly</v>
      </c>
      <c r="F36">
        <v>4</v>
      </c>
    </row>
    <row r="37">
      <c r="A37" t="str">
        <v>Remediation Program retainer, Tier 3</v>
      </c>
      <c r="B37" s="1">
        <v>65000</v>
      </c>
      <c r="C37" t="str">
        <v>$/month</v>
      </c>
      <c r="D37" t="str">
        <v>Brief default</v>
      </c>
      <c r="E37" t="str">
        <v>retainerTier3Monthly</v>
      </c>
      <c r="F37">
        <v>4</v>
      </c>
    </row>
    <row r="38">
      <c r="A38" t="str">
        <v>Board Readout &amp; Insurance Attestation fee</v>
      </c>
      <c r="B38" s="1">
        <v>24000</v>
      </c>
      <c r="C38" t="str">
        <v>$</v>
      </c>
      <c r="D38" t="str">
        <v>Brief default</v>
      </c>
      <c r="E38" t="str">
        <v>boardReadoutPrice</v>
      </c>
      <c r="F38" t="str">
        <v/>
      </c>
    </row>
    <row r="39">
      <c r="A39" t="str">
        <v>Falcon Complete continuous-remediation add-on</v>
      </c>
      <c r="B39" s="1">
        <v>9500</v>
      </c>
      <c r="C39" t="str">
        <v>$/month</v>
      </c>
      <c r="D39" t="str">
        <v>Brief default</v>
      </c>
      <c r="E39" t="str">
        <v>fcAddonMonthly</v>
      </c>
      <c r="F39">
        <v>1</v>
      </c>
    </row>
    <row r="40">
      <c r="A40" t="str">
        <v>Annual price escalator</v>
      </c>
      <c r="B40" s="3">
        <v>0.04</v>
      </c>
      <c r="C40" t="str">
        <v>%</v>
      </c>
      <c r="D40" t="str">
        <v>Brief default (4%); applied to all billings by practice year (DECISIONS #13)</v>
      </c>
      <c r="E40" t="str">
        <v>priceEscalator</v>
      </c>
      <c r="F40" t="str">
        <v/>
      </c>
    </row>
    <row r="41">
      <c r="A41" t="str">
        <v>Share of deals transacted through Falcon Flex</v>
      </c>
      <c r="B41" s="3">
        <v>0.6</v>
      </c>
      <c r="C41" t="str">
        <v>%</v>
      </c>
      <c r="D41" t="str">
        <v>ASSUMPTION: 60% of deals transact through Flex; CrowdStrike has not published partner economics (source 14)</v>
      </c>
      <c r="E41" t="str">
        <v>flexShare</v>
      </c>
      <c r="F41" t="str">
        <v/>
      </c>
    </row>
    <row r="42">
      <c r="A42" t="str">
        <v>Falcon Flex program margin retained by CrowdStrike</v>
      </c>
      <c r="B42" s="3">
        <v>0.1</v>
      </c>
      <c r="C42" t="str">
        <v>% of Flex deal value</v>
      </c>
      <c r="D42" t="str">
        <v>ASSUMPTION: 10% program margin on Flex-transacted value; set negative to model a net incentive to Optiv (DECISIONS #6)</v>
      </c>
      <c r="E42" t="str">
        <v>flexProgramMarginPct</v>
      </c>
      <c r="F42">
        <v>11</v>
      </c>
    </row>
    <row r="43">
      <c r="A43" t="str">
        <v>Effective blended bill rate (reference)</v>
      </c>
      <c r="B43" s="1">
        <v>325</v>
      </c>
      <c r="C43" t="str">
        <v>$/hour</v>
      </c>
      <c r="D43" t="str">
        <v>Brief default; bounded by $185-$325 general security and $200-$425 AppSec bands (sources 15A, 15B). Used to derive delivery hours, not revenue</v>
      </c>
      <c r="E43" t="str">
        <v>blendedRate</v>
      </c>
      <c r="F43" t="str">
        <v/>
      </c>
    </row>
    <row r="44">
      <c r="A44" t="str">
        <v>DELIVERY</v>
      </c>
      <c r="B44" t="str">
        <v/>
      </c>
      <c r="C44" t="str">
        <v/>
      </c>
      <c r="D44" t="str">
        <v/>
      </c>
      <c r="E44" t="str">
        <v/>
      </c>
      <c r="F44" t="str">
        <v/>
      </c>
    </row>
    <row r="45">
      <c r="A45" t="str">
        <v>Readiness Assessment delivery hours</v>
      </c>
      <c r="B45" s="4">
        <v>260</v>
      </c>
      <c r="C45" t="str">
        <v>hours</v>
      </c>
      <c r="D45" t="str">
        <v>ASSUMPTION: Price / blended rate, rounded (DECISIONS #5)</v>
      </c>
      <c r="E45" t="str">
        <v>assessmentHours</v>
      </c>
      <c r="F45" t="str">
        <v/>
      </c>
    </row>
    <row r="46">
      <c r="A46" t="str">
        <v>Prioritization Sprint delivery hours</v>
      </c>
      <c r="B46" s="4">
        <v>430</v>
      </c>
      <c r="C46" t="str">
        <v>hours</v>
      </c>
      <c r="D46" t="str">
        <v>ASSUMPTION: Price / blended rate, rounded (DECISIONS #5)</v>
      </c>
      <c r="E46" t="str">
        <v>sprintHours</v>
      </c>
      <c r="F46" t="str">
        <v/>
      </c>
    </row>
    <row r="47">
      <c r="A47" t="str">
        <v>Retainer Tier 1 hours per month</v>
      </c>
      <c r="B47" s="4">
        <v>68</v>
      </c>
      <c r="C47" t="str">
        <v>hours/month</v>
      </c>
      <c r="D47" t="str">
        <v>ASSUMPTION: Fee / blended rate, rounded</v>
      </c>
      <c r="E47" t="str">
        <v>retainerTier1Hours</v>
      </c>
      <c r="F47" t="str">
        <v/>
      </c>
    </row>
    <row r="48">
      <c r="A48" t="str">
        <v>Retainer Tier 2 hours per month</v>
      </c>
      <c r="B48" s="4">
        <v>117</v>
      </c>
      <c r="C48" t="str">
        <v>hours/month</v>
      </c>
      <c r="D48" t="str">
        <v>ASSUMPTION: Fee / blended rate, rounded</v>
      </c>
      <c r="E48" t="str">
        <v>retainerTier2Hours</v>
      </c>
      <c r="F48" t="str">
        <v/>
      </c>
    </row>
    <row r="49">
      <c r="A49" t="str">
        <v>Retainer Tier 3 hours per month</v>
      </c>
      <c r="B49" s="4">
        <v>200</v>
      </c>
      <c r="C49" t="str">
        <v>hours/month</v>
      </c>
      <c r="D49" t="str">
        <v>ASSUMPTION: Fee / blended rate, rounded</v>
      </c>
      <c r="E49" t="str">
        <v>retainerTier3Hours</v>
      </c>
      <c r="F49" t="str">
        <v/>
      </c>
    </row>
    <row r="50">
      <c r="A50" t="str">
        <v>Board Readout delivery hours</v>
      </c>
      <c r="B50" s="4">
        <v>74</v>
      </c>
      <c r="C50" t="str">
        <v>hours</v>
      </c>
      <c r="D50" t="str">
        <v>ASSUMPTION: Price / blended rate, rounded</v>
      </c>
      <c r="E50" t="str">
        <v>boardReadoutHours</v>
      </c>
      <c r="F50" t="str">
        <v/>
      </c>
    </row>
    <row r="51">
      <c r="A51" t="str">
        <v>FC add-on advisor oversight hours per customer-month</v>
      </c>
      <c r="B51" s="4">
        <v>6</v>
      </c>
      <c r="C51" t="str">
        <v>hours/month</v>
      </c>
      <c r="D51" t="str">
        <v>ASSUMPTION: 6 hours; the add-on is delivered mainly by the existing Falcon Complete team (DECISIONS #5)</v>
      </c>
      <c r="E51" t="str">
        <v>fcAddonAdvisorHours</v>
      </c>
      <c r="F51" t="str">
        <v/>
      </c>
    </row>
    <row r="52">
      <c r="A52" t="str">
        <v>FC add-on delivery cost transfer to Falcon Complete team</v>
      </c>
      <c r="B52" s="3">
        <v>0.35</v>
      </c>
      <c r="C52" t="str">
        <v>% of add-on revenue</v>
      </c>
      <c r="D52" t="str">
        <v>ASSUMPTION: 35% internal transfer for analyst delivery (DECISIONS #5)</v>
      </c>
      <c r="E52" t="str">
        <v>fcAddonDeliveryCostPct</v>
      </c>
      <c r="F52">
        <v>2</v>
      </c>
    </row>
    <row r="53">
      <c r="A53" t="str">
        <v>DEMAND</v>
      </c>
      <c r="B53" t="str">
        <v/>
      </c>
      <c r="C53" t="str">
        <v/>
      </c>
      <c r="D53" t="str">
        <v/>
      </c>
      <c r="E53" t="str">
        <v/>
      </c>
      <c r="F53" t="str">
        <v/>
      </c>
    </row>
    <row r="54">
      <c r="A54" t="str">
        <v>Attach: Assessment to Sprint</v>
      </c>
      <c r="B54" s="3">
        <v>0.65</v>
      </c>
      <c r="C54" t="str">
        <v>%</v>
      </c>
      <c r="D54" t="str">
        <v>Brief default (65%)</v>
      </c>
      <c r="E54" t="str">
        <v>attachSprint</v>
      </c>
      <c r="F54">
        <v>14</v>
      </c>
    </row>
    <row r="55">
      <c r="A55" t="str">
        <v>Attach: Sprint to Retainer</v>
      </c>
      <c r="B55" s="3">
        <v>0.55</v>
      </c>
      <c r="C55" t="str">
        <v>%</v>
      </c>
      <c r="D55" t="str">
        <v>Brief default (55%)</v>
      </c>
      <c r="E55" t="str">
        <v>attachRetainer</v>
      </c>
      <c r="F55">
        <v>13</v>
      </c>
    </row>
    <row r="56">
      <c r="A56" t="str">
        <v>Retainer tier mix: Tier 1</v>
      </c>
      <c r="B56" s="3">
        <v>0.5</v>
      </c>
      <c r="C56" t="str">
        <v>%</v>
      </c>
      <c r="D56" t="str">
        <v>Brief default (50/35/15)</v>
      </c>
      <c r="E56" t="str">
        <v>tierMix1</v>
      </c>
      <c r="F56" t="str">
        <v/>
      </c>
    </row>
    <row r="57">
      <c r="A57" t="str">
        <v>Retainer tier mix: Tier 2</v>
      </c>
      <c r="B57" s="3">
        <v>0.35</v>
      </c>
      <c r="C57" t="str">
        <v>%</v>
      </c>
      <c r="D57" t="str">
        <v>Brief default</v>
      </c>
      <c r="E57" t="str">
        <v>tierMix2</v>
      </c>
      <c r="F57" t="str">
        <v/>
      </c>
    </row>
    <row r="58">
      <c r="A58" t="str">
        <v>Retainer tier mix: Tier 3</v>
      </c>
      <c r="B58" s="3">
        <v>0.15</v>
      </c>
      <c r="C58" t="str">
        <v>%</v>
      </c>
      <c r="D58" t="str">
        <v>Brief default</v>
      </c>
      <c r="E58" t="str">
        <v>tierMix3</v>
      </c>
      <c r="F58" t="str">
        <v/>
      </c>
    </row>
    <row r="59">
      <c r="A59" t="str">
        <v>Board readout attach</v>
      </c>
      <c r="B59" s="3">
        <v>0.4</v>
      </c>
      <c r="C59" t="str">
        <v>%</v>
      </c>
      <c r="D59" t="str">
        <v>Brief default (40%); applied to sprint completions and renewals (DECISIONS #16)</v>
      </c>
      <c r="E59" t="str">
        <v>boardAttach</v>
      </c>
      <c r="F59" t="str">
        <v/>
      </c>
    </row>
    <row r="60">
      <c r="A60" t="str">
        <v>Retainer renewal rate</v>
      </c>
      <c r="B60" s="3">
        <v>0.8</v>
      </c>
      <c r="C60" t="str">
        <v>%</v>
      </c>
      <c r="D60" t="str">
        <v>Brief default (80%)</v>
      </c>
      <c r="E60" t="str">
        <v>renewalRate</v>
      </c>
      <c r="F60">
        <v>16</v>
      </c>
    </row>
    <row r="61">
      <c r="A61" t="str">
        <v>Assessments closed per month, months 1-3</v>
      </c>
      <c r="B61" s="4">
        <v>1</v>
      </c>
      <c r="C61" t="str">
        <v>per month</v>
      </c>
      <c r="D61" t="str">
        <v>Brief default</v>
      </c>
      <c r="E61" t="str">
        <v>assessmentsMonths1to3</v>
      </c>
      <c r="F61" t="str">
        <v/>
      </c>
    </row>
    <row r="62">
      <c r="A62" t="str">
        <v>Assessments closed per month, months 4-6</v>
      </c>
      <c r="B62" s="4">
        <v>2</v>
      </c>
      <c r="C62" t="str">
        <v>per month</v>
      </c>
      <c r="D62" t="str">
        <v>Brief default</v>
      </c>
      <c r="E62" t="str">
        <v>assessmentsMonths4to6</v>
      </c>
      <c r="F62" t="str">
        <v/>
      </c>
    </row>
    <row r="63">
      <c r="A63" t="str">
        <v>Assessments closed per month, months 7-12</v>
      </c>
      <c r="B63" s="4">
        <v>3</v>
      </c>
      <c r="C63" t="str">
        <v>per month</v>
      </c>
      <c r="D63" t="str">
        <v>Brief default</v>
      </c>
      <c r="E63" t="str">
        <v>assessmentsMonths7to12</v>
      </c>
      <c r="F63">
        <v>15</v>
      </c>
    </row>
    <row r="64">
      <c r="A64" t="str">
        <v>Assessment demand growth per year (Years 2-3)</v>
      </c>
      <c r="B64" s="3">
        <v>0.25</v>
      </c>
      <c r="C64" t="str">
        <v>%</v>
      </c>
      <c r="D64" t="str">
        <v>Brief default (25%)</v>
      </c>
      <c r="E64" t="str">
        <v>assessmentGrowthPerYear</v>
      </c>
      <c r="F64" t="str">
        <v/>
      </c>
    </row>
    <row r="65">
      <c r="A65" t="str">
        <v>Backlog at which new assessments are declined</v>
      </c>
      <c r="B65" s="4">
        <v>12</v>
      </c>
      <c r="C65" t="str">
        <v>weeks</v>
      </c>
      <c r="D65" t="str">
        <v>ASSUMPTION: 12 weeks; customers will not wait longer to start (DECISIONS #10)</v>
      </c>
      <c r="E65" t="str">
        <v>maxBacklogWeeks</v>
      </c>
      <c r="F65" t="str">
        <v/>
      </c>
    </row>
    <row r="66">
      <c r="A66" t="str">
        <v>FC add-on customers by month 6</v>
      </c>
      <c r="B66" s="4">
        <v>3</v>
      </c>
      <c r="C66" t="str">
        <v>customers</v>
      </c>
      <c r="D66" t="str">
        <v>Brief default</v>
      </c>
      <c r="E66" t="str">
        <v>fcAddonByMonth6</v>
      </c>
      <c r="F66" t="str">
        <v/>
      </c>
    </row>
    <row r="67">
      <c r="A67" t="str">
        <v>FC add-on customers by month 12</v>
      </c>
      <c r="B67" s="4">
        <v>12</v>
      </c>
      <c r="C67" t="str">
        <v>customers</v>
      </c>
      <c r="D67" t="str">
        <v>Brief default</v>
      </c>
      <c r="E67" t="str">
        <v>fcAddonByMonth12</v>
      </c>
      <c r="F67" t="str">
        <v/>
      </c>
    </row>
    <row r="68">
      <c r="A68" t="str">
        <v>FC add-on customers by month 24</v>
      </c>
      <c r="B68" s="4">
        <v>30</v>
      </c>
      <c r="C68" t="str">
        <v>customers</v>
      </c>
      <c r="D68" t="str">
        <v>Brief default</v>
      </c>
      <c r="E68" t="str">
        <v>fcAddonByMonth24</v>
      </c>
      <c r="F68">
        <v>6</v>
      </c>
    </row>
    <row r="69">
      <c r="A69" t="str">
        <v>FC add-on customers by month 36</v>
      </c>
      <c r="B69" s="4">
        <v>50</v>
      </c>
      <c r="C69" t="str">
        <v>customers</v>
      </c>
      <c r="D69" t="str">
        <v>Brief default</v>
      </c>
      <c r="E69" t="str">
        <v>fcAddonByMonth36</v>
      </c>
      <c r="F69" t="str">
        <v/>
      </c>
    </row>
    <row r="70">
      <c r="A70" t="str">
        <v>Sales cycle, first meeting to signature</v>
      </c>
      <c r="B70" s="2">
        <v>60</v>
      </c>
      <c r="C70" t="str">
        <v>days</v>
      </c>
      <c r="D70" t="str">
        <v>Brief default (60 days); drives the pipeline plan, not the monthly P&amp;L</v>
      </c>
      <c r="E70" t="str">
        <v>salesCycleDays</v>
      </c>
      <c r="F70" t="str">
        <v/>
      </c>
    </row>
    <row r="71">
      <c r="A71" t="str">
        <v>Payment terms</v>
      </c>
      <c r="B71" s="2">
        <v>45</v>
      </c>
      <c r="C71" t="str">
        <v>days</v>
      </c>
      <c r="D71" t="str">
        <v>Brief default (net 45); collections split across the following two months (DECISIONS #14)</v>
      </c>
      <c r="E71" t="str">
        <v>paymentTermsDays</v>
      </c>
      <c r="F71" t="str">
        <v/>
      </c>
    </row>
    <row r="72">
      <c r="A72" t="str">
        <v>SCENARIO</v>
      </c>
      <c r="B72" t="str">
        <v/>
      </c>
      <c r="C72" t="str">
        <v/>
      </c>
      <c r="D72" t="str">
        <v/>
      </c>
      <c r="E72" t="str">
        <v/>
      </c>
      <c r="F72" t="str">
        <v/>
      </c>
    </row>
    <row r="73">
      <c r="A73" t="str">
        <v>CrowdStrike co-sell demand multiplier</v>
      </c>
      <c r="B73" s="4">
        <v>1</v>
      </c>
      <c r="C73" t="str">
        <v>x</v>
      </c>
      <c r="D73" t="str">
        <v>Scenario lever (1.0 in Base; 2.0 in Upside)</v>
      </c>
      <c r="E73" t="str">
        <v>cosellMultiplier</v>
      </c>
      <c r="F73" t="str">
        <v/>
      </c>
    </row>
    <row r="74">
      <c r="A74" t="str">
        <v>Co-sell multiplier starts in month</v>
      </c>
      <c r="B74" s="2">
        <v>7</v>
      </c>
      <c r="C74" t="str">
        <v>month</v>
      </c>
      <c r="D74" t="str">
        <v>Scenario lever (month 7 in Upside)</v>
      </c>
      <c r="E74" t="str">
        <v>cosellStartMonth</v>
      </c>
      <c r="F74" t="str">
        <v/>
      </c>
    </row>
  </sheetData>
  <ignoredErrors>
    <ignoredError numberStoredAsText="1" sqref="A1:F7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L88"/>
  <sheetViews>
    <sheetView workbookViewId="0"/>
  </sheetViews>
  <cols>
    <col min="1" max="1" width="52.83203125" customWidth="1"/>
    <col min="2" max="2" width="20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2.83203125" customWidth="1"/>
    <col min="15" max="15" width="12.83203125" customWidth="1"/>
    <col min="16" max="16" width="12.83203125" customWidth="1"/>
    <col min="17" max="17" width="12.83203125" customWidth="1"/>
    <col min="18" max="18" width="12.83203125" customWidth="1"/>
    <col min="19" max="19" width="12.83203125" customWidth="1"/>
    <col min="20" max="20" width="12.83203125" customWidth="1"/>
    <col min="21" max="21" width="12.83203125" customWidth="1"/>
    <col min="22" max="22" width="12.83203125" customWidth="1"/>
    <col min="23" max="23" width="12.83203125" customWidth="1"/>
    <col min="24" max="24" width="12.83203125" customWidth="1"/>
    <col min="25" max="25" width="12.83203125" customWidth="1"/>
    <col min="26" max="26" width="12.83203125" customWidth="1"/>
    <col min="27" max="27" width="12.83203125" customWidth="1"/>
    <col min="28" max="28" width="12.83203125" customWidth="1"/>
    <col min="29" max="29" width="12.83203125" customWidth="1"/>
    <col min="30" max="30" width="12.83203125" customWidth="1"/>
    <col min="31" max="31" width="12.83203125" customWidth="1"/>
    <col min="32" max="32" width="12.83203125" customWidth="1"/>
    <col min="33" max="33" width="12.83203125" customWidth="1"/>
    <col min="34" max="34" width="12.83203125" customWidth="1"/>
    <col min="35" max="35" width="12.83203125" customWidth="1"/>
    <col min="36" max="36" width="12.83203125" customWidth="1"/>
    <col min="37" max="37" width="12.83203125" customWidth="1"/>
    <col min="38" max="38" width="12.83203125" customWidth="1"/>
  </cols>
  <sheetData>
    <row r="1">
      <c r="A1" t="str">
        <v>Line item</v>
      </c>
      <c r="B1" t="str">
        <v>Key</v>
      </c>
      <c r="C1" t="str">
        <v>M1</v>
      </c>
      <c r="D1" t="str">
        <v>M2</v>
      </c>
      <c r="E1" t="str">
        <v>M3</v>
      </c>
      <c r="F1" t="str">
        <v>M4</v>
      </c>
      <c r="G1" t="str">
        <v>M5</v>
      </c>
      <c r="H1" t="str">
        <v>M6</v>
      </c>
      <c r="I1" t="str">
        <v>M7</v>
      </c>
      <c r="J1" t="str">
        <v>M8</v>
      </c>
      <c r="K1" t="str">
        <v>M9</v>
      </c>
      <c r="L1" t="str">
        <v>M10</v>
      </c>
      <c r="M1" t="str">
        <v>M11</v>
      </c>
      <c r="N1" t="str">
        <v>M12</v>
      </c>
      <c r="O1" t="str">
        <v>M13</v>
      </c>
      <c r="P1" t="str">
        <v>M14</v>
      </c>
      <c r="Q1" t="str">
        <v>M15</v>
      </c>
      <c r="R1" t="str">
        <v>M16</v>
      </c>
      <c r="S1" t="str">
        <v>M17</v>
      </c>
      <c r="T1" t="str">
        <v>M18</v>
      </c>
      <c r="U1" t="str">
        <v>M19</v>
      </c>
      <c r="V1" t="str">
        <v>M20</v>
      </c>
      <c r="W1" t="str">
        <v>M21</v>
      </c>
      <c r="X1" t="str">
        <v>M22</v>
      </c>
      <c r="Y1" t="str">
        <v>M23</v>
      </c>
      <c r="Z1" t="str">
        <v>M24</v>
      </c>
      <c r="AA1" t="str">
        <v>M25</v>
      </c>
      <c r="AB1" t="str">
        <v>M26</v>
      </c>
      <c r="AC1" t="str">
        <v>M27</v>
      </c>
      <c r="AD1" t="str">
        <v>M28</v>
      </c>
      <c r="AE1" t="str">
        <v>M29</v>
      </c>
      <c r="AF1" t="str">
        <v>M30</v>
      </c>
      <c r="AG1" t="str">
        <v>M31</v>
      </c>
      <c r="AH1" t="str">
        <v>M32</v>
      </c>
      <c r="AI1" t="str">
        <v>M33</v>
      </c>
      <c r="AJ1" t="str">
        <v>M34</v>
      </c>
      <c r="AK1" t="str">
        <v>M35</v>
      </c>
      <c r="AL1" t="str">
        <v>M36</v>
      </c>
    </row>
    <row r="2">
      <c r="A2" t="str">
        <v>Month</v>
      </c>
      <c r="B2" t="str">
        <v>month</v>
      </c>
      <c r="C2" s="2">
        <v>1</v>
      </c>
      <c r="D2" s="2">
        <v>2</v>
      </c>
      <c r="E2" s="2">
        <v>3</v>
      </c>
      <c r="F2" s="2">
        <v>4</v>
      </c>
      <c r="G2" s="2">
        <v>5</v>
      </c>
      <c r="H2" s="2">
        <v>6</v>
      </c>
      <c r="I2" s="2">
        <v>7</v>
      </c>
      <c r="J2" s="2">
        <v>8</v>
      </c>
      <c r="K2" s="2">
        <v>9</v>
      </c>
      <c r="L2" s="2">
        <v>10</v>
      </c>
      <c r="M2" s="2">
        <v>11</v>
      </c>
      <c r="N2" s="2">
        <v>12</v>
      </c>
      <c r="O2" s="2">
        <v>13</v>
      </c>
      <c r="P2" s="2">
        <v>14</v>
      </c>
      <c r="Q2" s="2">
        <v>15</v>
      </c>
      <c r="R2" s="2">
        <v>16</v>
      </c>
      <c r="S2" s="2">
        <v>17</v>
      </c>
      <c r="T2" s="2">
        <v>18</v>
      </c>
      <c r="U2" s="2">
        <v>19</v>
      </c>
      <c r="V2" s="2">
        <v>20</v>
      </c>
      <c r="W2" s="2">
        <v>21</v>
      </c>
      <c r="X2" s="2">
        <v>22</v>
      </c>
      <c r="Y2" s="2">
        <v>23</v>
      </c>
      <c r="Z2" s="2">
        <v>24</v>
      </c>
      <c r="AA2" s="2">
        <v>25</v>
      </c>
      <c r="AB2" s="2">
        <v>26</v>
      </c>
      <c r="AC2" s="2">
        <v>27</v>
      </c>
      <c r="AD2" s="2">
        <v>28</v>
      </c>
      <c r="AE2" s="2">
        <v>29</v>
      </c>
      <c r="AF2" s="2">
        <v>30</v>
      </c>
      <c r="AG2" s="2">
        <v>31</v>
      </c>
      <c r="AH2" s="2">
        <v>32</v>
      </c>
      <c r="AI2" s="2">
        <v>33</v>
      </c>
      <c r="AJ2" s="2">
        <v>34</v>
      </c>
      <c r="AK2" s="2">
        <v>35</v>
      </c>
      <c r="AL2" s="2">
        <v>36</v>
      </c>
    </row>
    <row r="3">
      <c r="A3" t="str">
        <v>Practice year</v>
      </c>
      <c r="B3" t="str">
        <v>year</v>
      </c>
      <c r="C3" s="2">
        <f>CEILING(C$2/12,1)</f>
      </c>
      <c r="D3" s="2">
        <f>CEILING(D$2/12,1)</f>
      </c>
      <c r="E3" s="2">
        <f>CEILING(E$2/12,1)</f>
      </c>
      <c r="F3" s="2">
        <f>CEILING(F$2/12,1)</f>
      </c>
      <c r="G3" s="2">
        <f>CEILING(G$2/12,1)</f>
      </c>
      <c r="H3" s="2">
        <f>CEILING(H$2/12,1)</f>
      </c>
      <c r="I3" s="2">
        <f>CEILING(I$2/12,1)</f>
      </c>
      <c r="J3" s="2">
        <f>CEILING(J$2/12,1)</f>
      </c>
      <c r="K3" s="2">
        <f>CEILING(K$2/12,1)</f>
      </c>
      <c r="L3" s="2">
        <f>CEILING(L$2/12,1)</f>
      </c>
      <c r="M3" s="2">
        <f>CEILING(M$2/12,1)</f>
      </c>
      <c r="N3" s="2">
        <f>CEILING(N$2/12,1)</f>
      </c>
      <c r="O3" s="2">
        <f>CEILING(O$2/12,1)</f>
      </c>
      <c r="P3" s="2">
        <f>CEILING(P$2/12,1)</f>
      </c>
      <c r="Q3" s="2">
        <f>CEILING(Q$2/12,1)</f>
      </c>
      <c r="R3" s="2">
        <f>CEILING(R$2/12,1)</f>
      </c>
      <c r="S3" s="2">
        <f>CEILING(S$2/12,1)</f>
      </c>
      <c r="T3" s="2">
        <f>CEILING(T$2/12,1)</f>
      </c>
      <c r="U3" s="2">
        <f>CEILING(U$2/12,1)</f>
      </c>
      <c r="V3" s="2">
        <f>CEILING(V$2/12,1)</f>
      </c>
      <c r="W3" s="2">
        <f>CEILING(W$2/12,1)</f>
      </c>
      <c r="X3" s="2">
        <f>CEILING(X$2/12,1)</f>
      </c>
      <c r="Y3" s="2">
        <f>CEILING(Y$2/12,1)</f>
      </c>
      <c r="Z3" s="2">
        <f>CEILING(Z$2/12,1)</f>
      </c>
      <c r="AA3" s="2">
        <f>CEILING(AA$2/12,1)</f>
      </c>
      <c r="AB3" s="2">
        <f>CEILING(AB$2/12,1)</f>
      </c>
      <c r="AC3" s="2">
        <f>CEILING(AC$2/12,1)</f>
      </c>
      <c r="AD3" s="2">
        <f>CEILING(AD$2/12,1)</f>
      </c>
      <c r="AE3" s="2">
        <f>CEILING(AE$2/12,1)</f>
      </c>
      <c r="AF3" s="2">
        <f>CEILING(AF$2/12,1)</f>
      </c>
      <c r="AG3" s="2">
        <f>CEILING(AG$2/12,1)</f>
      </c>
      <c r="AH3" s="2">
        <f>CEILING(AH$2/12,1)</f>
      </c>
      <c r="AI3" s="2">
        <f>CEILING(AI$2/12,1)</f>
      </c>
      <c r="AJ3" s="2">
        <f>CEILING(AJ$2/12,1)</f>
      </c>
      <c r="AK3" s="2">
        <f>CEILING(AK$2/12,1)</f>
      </c>
      <c r="AL3" s="2">
        <f>CEILING(AL$2/12,1)</f>
      </c>
    </row>
    <row r="4">
      <c r="A4" t="str">
        <v>Price escalator factor</v>
      </c>
      <c r="B4" t="str">
        <v>escalator</v>
      </c>
      <c r="C4" s="5">
        <f>(1+Inputs!$B$40)^(C$3-1)</f>
      </c>
      <c r="D4" s="5">
        <f>(1+Inputs!$B$40)^(D$3-1)</f>
      </c>
      <c r="E4" s="5">
        <f>(1+Inputs!$B$40)^(E$3-1)</f>
      </c>
      <c r="F4" s="5">
        <f>(1+Inputs!$B$40)^(F$3-1)</f>
      </c>
      <c r="G4" s="5">
        <f>(1+Inputs!$B$40)^(G$3-1)</f>
      </c>
      <c r="H4" s="5">
        <f>(1+Inputs!$B$40)^(H$3-1)</f>
      </c>
      <c r="I4" s="5">
        <f>(1+Inputs!$B$40)^(I$3-1)</f>
      </c>
      <c r="J4" s="5">
        <f>(1+Inputs!$B$40)^(J$3-1)</f>
      </c>
      <c r="K4" s="5">
        <f>(1+Inputs!$B$40)^(K$3-1)</f>
      </c>
      <c r="L4" s="5">
        <f>(1+Inputs!$B$40)^(L$3-1)</f>
      </c>
      <c r="M4" s="5">
        <f>(1+Inputs!$B$40)^(M$3-1)</f>
      </c>
      <c r="N4" s="5">
        <f>(1+Inputs!$B$40)^(N$3-1)</f>
      </c>
      <c r="O4" s="5">
        <f>(1+Inputs!$B$40)^(O$3-1)</f>
      </c>
      <c r="P4" s="5">
        <f>(1+Inputs!$B$40)^(P$3-1)</f>
      </c>
      <c r="Q4" s="5">
        <f>(1+Inputs!$B$40)^(Q$3-1)</f>
      </c>
      <c r="R4" s="5">
        <f>(1+Inputs!$B$40)^(R$3-1)</f>
      </c>
      <c r="S4" s="5">
        <f>(1+Inputs!$B$40)^(S$3-1)</f>
      </c>
      <c r="T4" s="5">
        <f>(1+Inputs!$B$40)^(T$3-1)</f>
      </c>
      <c r="U4" s="5">
        <f>(1+Inputs!$B$40)^(U$3-1)</f>
      </c>
      <c r="V4" s="5">
        <f>(1+Inputs!$B$40)^(V$3-1)</f>
      </c>
      <c r="W4" s="5">
        <f>(1+Inputs!$B$40)^(W$3-1)</f>
      </c>
      <c r="X4" s="5">
        <f>(1+Inputs!$B$40)^(X$3-1)</f>
      </c>
      <c r="Y4" s="5">
        <f>(1+Inputs!$B$40)^(Y$3-1)</f>
      </c>
      <c r="Z4" s="5">
        <f>(1+Inputs!$B$40)^(Z$3-1)</f>
      </c>
      <c r="AA4" s="5">
        <f>(1+Inputs!$B$40)^(AA$3-1)</f>
      </c>
      <c r="AB4" s="5">
        <f>(1+Inputs!$B$40)^(AB$3-1)</f>
      </c>
      <c r="AC4" s="5">
        <f>(1+Inputs!$B$40)^(AC$3-1)</f>
      </c>
      <c r="AD4" s="5">
        <f>(1+Inputs!$B$40)^(AD$3-1)</f>
      </c>
      <c r="AE4" s="5">
        <f>(1+Inputs!$B$40)^(AE$3-1)</f>
      </c>
      <c r="AF4" s="5">
        <f>(1+Inputs!$B$40)^(AF$3-1)</f>
      </c>
      <c r="AG4" s="5">
        <f>(1+Inputs!$B$40)^(AG$3-1)</f>
      </c>
      <c r="AH4" s="5">
        <f>(1+Inputs!$B$40)^(AH$3-1)</f>
      </c>
      <c r="AI4" s="5">
        <f>(1+Inputs!$B$40)^(AI$3-1)</f>
      </c>
      <c r="AJ4" s="5">
        <f>(1+Inputs!$B$40)^(AJ$3-1)</f>
      </c>
      <c r="AK4" s="5">
        <f>(1+Inputs!$B$40)^(AK$3-1)</f>
      </c>
      <c r="AL4" s="5">
        <f>(1+Inputs!$B$40)^(AL$3-1)</f>
      </c>
    </row>
    <row r="5">
      <c r="A5" t="str">
        <v>Advisor arrivals (hires starting this month)</v>
      </c>
      <c r="B5" t="str">
        <v>arrivals</v>
      </c>
      <c r="C5" s="2">
        <v>0</v>
      </c>
      <c r="D5" s="2">
        <f>SUMIF(C$2:C$2,D$2-Inputs!$B$14,C$58:C$58)</f>
      </c>
      <c r="E5" s="2">
        <f>SUMIF(C$2:D$2,E$2-Inputs!$B$14,C$58:D$58)</f>
      </c>
      <c r="F5" s="2">
        <f>SUMIF(C$2:E$2,F$2-Inputs!$B$14,C$58:E$58)</f>
      </c>
      <c r="G5" s="2">
        <f>SUMIF(C$2:F$2,G$2-Inputs!$B$14,C$58:F$58)</f>
      </c>
      <c r="H5" s="2">
        <f>SUMIF(C$2:G$2,H$2-Inputs!$B$14,C$58:G$58)</f>
      </c>
      <c r="I5" s="2">
        <f>SUMIF(C$2:H$2,I$2-Inputs!$B$14,C$58:H$58)</f>
      </c>
      <c r="J5" s="2">
        <f>SUMIF(C$2:I$2,J$2-Inputs!$B$14,C$58:I$58)</f>
      </c>
      <c r="K5" s="2">
        <f>SUMIF(C$2:J$2,K$2-Inputs!$B$14,C$58:J$58)</f>
      </c>
      <c r="L5" s="2">
        <f>SUMIF(C$2:K$2,L$2-Inputs!$B$14,C$58:K$58)</f>
      </c>
      <c r="M5" s="2">
        <f>SUMIF(C$2:L$2,M$2-Inputs!$B$14,C$58:L$58)</f>
      </c>
      <c r="N5" s="2">
        <f>SUMIF(C$2:M$2,N$2-Inputs!$B$14,C$58:M$58)</f>
      </c>
      <c r="O5" s="2">
        <f>SUMIF(C$2:N$2,O$2-Inputs!$B$14,C$58:N$58)</f>
      </c>
      <c r="P5" s="2">
        <f>SUMIF(C$2:O$2,P$2-Inputs!$B$14,C$58:O$58)</f>
      </c>
      <c r="Q5" s="2">
        <f>SUMIF(C$2:P$2,Q$2-Inputs!$B$14,C$58:P$58)</f>
      </c>
      <c r="R5" s="2">
        <f>SUMIF(C$2:Q$2,R$2-Inputs!$B$14,C$58:Q$58)</f>
      </c>
      <c r="S5" s="2">
        <f>SUMIF(C$2:R$2,S$2-Inputs!$B$14,C$58:R$58)</f>
      </c>
      <c r="T5" s="2">
        <f>SUMIF(C$2:S$2,T$2-Inputs!$B$14,C$58:S$58)</f>
      </c>
      <c r="U5" s="2">
        <f>SUMIF(C$2:T$2,U$2-Inputs!$B$14,C$58:T$58)</f>
      </c>
      <c r="V5" s="2">
        <f>SUMIF(C$2:U$2,V$2-Inputs!$B$14,C$58:U$58)</f>
      </c>
      <c r="W5" s="2">
        <f>SUMIF(C$2:V$2,W$2-Inputs!$B$14,C$58:V$58)</f>
      </c>
      <c r="X5" s="2">
        <f>SUMIF(C$2:W$2,X$2-Inputs!$B$14,C$58:W$58)</f>
      </c>
      <c r="Y5" s="2">
        <f>SUMIF(C$2:X$2,Y$2-Inputs!$B$14,C$58:X$58)</f>
      </c>
      <c r="Z5" s="2">
        <f>SUMIF(C$2:Y$2,Z$2-Inputs!$B$14,C$58:Y$58)</f>
      </c>
      <c r="AA5" s="2">
        <f>SUMIF(C$2:Z$2,AA$2-Inputs!$B$14,C$58:Z$58)</f>
      </c>
      <c r="AB5" s="2">
        <f>SUMIF(C$2:AA$2,AB$2-Inputs!$B$14,C$58:AA$58)</f>
      </c>
      <c r="AC5" s="2">
        <f>SUMIF(C$2:AB$2,AC$2-Inputs!$B$14,C$58:AB$58)</f>
      </c>
      <c r="AD5" s="2">
        <f>SUMIF(C$2:AC$2,AD$2-Inputs!$B$14,C$58:AC$58)</f>
      </c>
      <c r="AE5" s="2">
        <f>SUMIF(C$2:AD$2,AE$2-Inputs!$B$14,C$58:AD$58)</f>
      </c>
      <c r="AF5" s="2">
        <f>SUMIF(C$2:AE$2,AF$2-Inputs!$B$14,C$58:AE$58)</f>
      </c>
      <c r="AG5" s="2">
        <f>SUMIF(C$2:AF$2,AG$2-Inputs!$B$14,C$58:AF$58)</f>
      </c>
      <c r="AH5" s="2">
        <f>SUMIF(C$2:AG$2,AH$2-Inputs!$B$14,C$58:AG$58)</f>
      </c>
      <c r="AI5" s="2">
        <f>SUMIF(C$2:AH$2,AI$2-Inputs!$B$14,C$58:AH$58)</f>
      </c>
      <c r="AJ5" s="2">
        <f>SUMIF(C$2:AI$2,AJ$2-Inputs!$B$14,C$58:AI$58)</f>
      </c>
      <c r="AK5" s="2">
        <f>SUMIF(C$2:AJ$2,AK$2-Inputs!$B$14,C$58:AJ$58)</f>
      </c>
      <c r="AL5" s="2">
        <f>SUMIF(C$2:AK$2,AL$2-Inputs!$B$14,C$58:AK$58)</f>
      </c>
    </row>
    <row r="6">
      <c r="A6" t="str">
        <v>Cumulative hires arrived</v>
      </c>
      <c r="B6" t="str">
        <v>cumArrivals</v>
      </c>
      <c r="C6" s="2">
        <f>0+C$5</f>
      </c>
      <c r="D6" s="2">
        <f>C$6+D$5</f>
      </c>
      <c r="E6" s="2">
        <f>D$6+E$5</f>
      </c>
      <c r="F6" s="2">
        <f>E$6+F$5</f>
      </c>
      <c r="G6" s="2">
        <f>F$6+G$5</f>
      </c>
      <c r="H6" s="2">
        <f>G$6+H$5</f>
      </c>
      <c r="I6" s="2">
        <f>H$6+I$5</f>
      </c>
      <c r="J6" s="2">
        <f>I$6+J$5</f>
      </c>
      <c r="K6" s="2">
        <f>J$6+K$5</f>
      </c>
      <c r="L6" s="2">
        <f>K$6+L$5</f>
      </c>
      <c r="M6" s="2">
        <f>L$6+M$5</f>
      </c>
      <c r="N6" s="2">
        <f>M$6+N$5</f>
      </c>
      <c r="O6" s="2">
        <f>N$6+O$5</f>
      </c>
      <c r="P6" s="2">
        <f>O$6+P$5</f>
      </c>
      <c r="Q6" s="2">
        <f>P$6+Q$5</f>
      </c>
      <c r="R6" s="2">
        <f>Q$6+R$5</f>
      </c>
      <c r="S6" s="2">
        <f>R$6+S$5</f>
      </c>
      <c r="T6" s="2">
        <f>S$6+T$5</f>
      </c>
      <c r="U6" s="2">
        <f>T$6+U$5</f>
      </c>
      <c r="V6" s="2">
        <f>U$6+V$5</f>
      </c>
      <c r="W6" s="2">
        <f>V$6+W$5</f>
      </c>
      <c r="X6" s="2">
        <f>W$6+X$5</f>
      </c>
      <c r="Y6" s="2">
        <f>X$6+Y$5</f>
      </c>
      <c r="Z6" s="2">
        <f>Y$6+Z$5</f>
      </c>
      <c r="AA6" s="2">
        <f>Z$6+AA$5</f>
      </c>
      <c r="AB6" s="2">
        <f>AA$6+AB$5</f>
      </c>
      <c r="AC6" s="2">
        <f>AB$6+AC$5</f>
      </c>
      <c r="AD6" s="2">
        <f>AC$6+AD$5</f>
      </c>
      <c r="AE6" s="2">
        <f>AD$6+AE$5</f>
      </c>
      <c r="AF6" s="2">
        <f>AE$6+AF$5</f>
      </c>
      <c r="AG6" s="2">
        <f>AF$6+AG$5</f>
      </c>
      <c r="AH6" s="2">
        <f>AG$6+AH$5</f>
      </c>
      <c r="AI6" s="2">
        <f>AH$6+AI$5</f>
      </c>
      <c r="AJ6" s="2">
        <f>AI$6+AJ$5</f>
      </c>
      <c r="AK6" s="2">
        <f>AJ$6+AK$5</f>
      </c>
      <c r="AL6" s="2">
        <f>AK$6+AL$5</f>
      </c>
    </row>
    <row r="7">
      <c r="A7" t="str">
        <v>Advisors on payroll</v>
      </c>
      <c r="B7" t="str">
        <v>advisors</v>
      </c>
      <c r="C7" s="2">
        <f>Inputs!$B$5+C$6</f>
      </c>
      <c r="D7" s="2">
        <f>Inputs!$B$5+D$6</f>
      </c>
      <c r="E7" s="2">
        <f>Inputs!$B$5+E$6</f>
      </c>
      <c r="F7" s="2">
        <f>Inputs!$B$5+F$6</f>
      </c>
      <c r="G7" s="2">
        <f>Inputs!$B$5+G$6</f>
      </c>
      <c r="H7" s="2">
        <f>Inputs!$B$5+H$6</f>
      </c>
      <c r="I7" s="2">
        <f>Inputs!$B$5+I$6</f>
      </c>
      <c r="J7" s="2">
        <f>Inputs!$B$5+J$6</f>
      </c>
      <c r="K7" s="2">
        <f>Inputs!$B$5+K$6</f>
      </c>
      <c r="L7" s="2">
        <f>Inputs!$B$5+L$6</f>
      </c>
      <c r="M7" s="2">
        <f>Inputs!$B$5+M$6</f>
      </c>
      <c r="N7" s="2">
        <f>Inputs!$B$5+N$6</f>
      </c>
      <c r="O7" s="2">
        <f>Inputs!$B$5+O$6</f>
      </c>
      <c r="P7" s="2">
        <f>Inputs!$B$5+P$6</f>
      </c>
      <c r="Q7" s="2">
        <f>Inputs!$B$5+Q$6</f>
      </c>
      <c r="R7" s="2">
        <f>Inputs!$B$5+R$6</f>
      </c>
      <c r="S7" s="2">
        <f>Inputs!$B$5+S$6</f>
      </c>
      <c r="T7" s="2">
        <f>Inputs!$B$5+T$6</f>
      </c>
      <c r="U7" s="2">
        <f>Inputs!$B$5+U$6</f>
      </c>
      <c r="V7" s="2">
        <f>Inputs!$B$5+V$6</f>
      </c>
      <c r="W7" s="2">
        <f>Inputs!$B$5+W$6</f>
      </c>
      <c r="X7" s="2">
        <f>Inputs!$B$5+X$6</f>
      </c>
      <c r="Y7" s="2">
        <f>Inputs!$B$5+Y$6</f>
      </c>
      <c r="Z7" s="2">
        <f>Inputs!$B$5+Z$6</f>
      </c>
      <c r="AA7" s="2">
        <f>Inputs!$B$5+AA$6</f>
      </c>
      <c r="AB7" s="2">
        <f>Inputs!$B$5+AB$6</f>
      </c>
      <c r="AC7" s="2">
        <f>Inputs!$B$5+AC$6</f>
      </c>
      <c r="AD7" s="2">
        <f>Inputs!$B$5+AD$6</f>
      </c>
      <c r="AE7" s="2">
        <f>Inputs!$B$5+AE$6</f>
      </c>
      <c r="AF7" s="2">
        <f>Inputs!$B$5+AF$6</f>
      </c>
      <c r="AG7" s="2">
        <f>Inputs!$B$5+AG$6</f>
      </c>
      <c r="AH7" s="2">
        <f>Inputs!$B$5+AH$6</f>
      </c>
      <c r="AI7" s="2">
        <f>Inputs!$B$5+AI$6</f>
      </c>
      <c r="AJ7" s="2">
        <f>Inputs!$B$5+AJ$6</f>
      </c>
      <c r="AK7" s="2">
        <f>Inputs!$B$5+AK$6</f>
      </c>
      <c r="AL7" s="2">
        <f>Inputs!$B$5+AL$6</f>
      </c>
    </row>
    <row r="8">
      <c r="A8" t="str">
        <v>Principal Advisors</v>
      </c>
      <c r="B8" t="str">
        <v>principals</v>
      </c>
      <c r="C8" s="2">
        <f>MIN(C$7,Inputs!$B$5)</f>
      </c>
      <c r="D8" s="2">
        <f>MIN(D$7,Inputs!$B$5)</f>
      </c>
      <c r="E8" s="2">
        <f>MIN(E$7,Inputs!$B$5)</f>
      </c>
      <c r="F8" s="2">
        <f>MIN(F$7,Inputs!$B$5)</f>
      </c>
      <c r="G8" s="2">
        <f>MIN(G$7,Inputs!$B$5)</f>
      </c>
      <c r="H8" s="2">
        <f>MIN(H$7,Inputs!$B$5)</f>
      </c>
      <c r="I8" s="2">
        <f>MIN(I$7,Inputs!$B$5)</f>
      </c>
      <c r="J8" s="2">
        <f>MIN(J$7,Inputs!$B$5)</f>
      </c>
      <c r="K8" s="2">
        <f>MIN(K$7,Inputs!$B$5)</f>
      </c>
      <c r="L8" s="2">
        <f>MIN(L$7,Inputs!$B$5)</f>
      </c>
      <c r="M8" s="2">
        <f>MIN(M$7,Inputs!$B$5)</f>
      </c>
      <c r="N8" s="2">
        <f>MIN(N$7,Inputs!$B$5)</f>
      </c>
      <c r="O8" s="2">
        <f>MIN(O$7,Inputs!$B$5)</f>
      </c>
      <c r="P8" s="2">
        <f>MIN(P$7,Inputs!$B$5)</f>
      </c>
      <c r="Q8" s="2">
        <f>MIN(Q$7,Inputs!$B$5)</f>
      </c>
      <c r="R8" s="2">
        <f>MIN(R$7,Inputs!$B$5)</f>
      </c>
      <c r="S8" s="2">
        <f>MIN(S$7,Inputs!$B$5)</f>
      </c>
      <c r="T8" s="2">
        <f>MIN(T$7,Inputs!$B$5)</f>
      </c>
      <c r="U8" s="2">
        <f>MIN(U$7,Inputs!$B$5)</f>
      </c>
      <c r="V8" s="2">
        <f>MIN(V$7,Inputs!$B$5)</f>
      </c>
      <c r="W8" s="2">
        <f>MIN(W$7,Inputs!$B$5)</f>
      </c>
      <c r="X8" s="2">
        <f>MIN(X$7,Inputs!$B$5)</f>
      </c>
      <c r="Y8" s="2">
        <f>MIN(Y$7,Inputs!$B$5)</f>
      </c>
      <c r="Z8" s="2">
        <f>MIN(Z$7,Inputs!$B$5)</f>
      </c>
      <c r="AA8" s="2">
        <f>MIN(AA$7,Inputs!$B$5)</f>
      </c>
      <c r="AB8" s="2">
        <f>MIN(AB$7,Inputs!$B$5)</f>
      </c>
      <c r="AC8" s="2">
        <f>MIN(AC$7,Inputs!$B$5)</f>
      </c>
      <c r="AD8" s="2">
        <f>MIN(AD$7,Inputs!$B$5)</f>
      </c>
      <c r="AE8" s="2">
        <f>MIN(AE$7,Inputs!$B$5)</f>
      </c>
      <c r="AF8" s="2">
        <f>MIN(AF$7,Inputs!$B$5)</f>
      </c>
      <c r="AG8" s="2">
        <f>MIN(AG$7,Inputs!$B$5)</f>
      </c>
      <c r="AH8" s="2">
        <f>MIN(AH$7,Inputs!$B$5)</f>
      </c>
      <c r="AI8" s="2">
        <f>MIN(AI$7,Inputs!$B$5)</f>
      </c>
      <c r="AJ8" s="2">
        <f>MIN(AJ$7,Inputs!$B$5)</f>
      </c>
      <c r="AK8" s="2">
        <f>MIN(AK$7,Inputs!$B$5)</f>
      </c>
      <c r="AL8" s="2">
        <f>MIN(AL$7,Inputs!$B$5)</f>
      </c>
    </row>
    <row r="9">
      <c r="A9" t="str">
        <v>Senior Advisors</v>
      </c>
      <c r="B9" t="str">
        <v>seniors</v>
      </c>
      <c r="C9" s="2">
        <f>C$7-C$8</f>
      </c>
      <c r="D9" s="2">
        <f>D$7-D$8</f>
      </c>
      <c r="E9" s="2">
        <f>E$7-E$8</f>
      </c>
      <c r="F9" s="2">
        <f>F$7-F$8</f>
      </c>
      <c r="G9" s="2">
        <f>G$7-G$8</f>
      </c>
      <c r="H9" s="2">
        <f>H$7-H$8</f>
      </c>
      <c r="I9" s="2">
        <f>I$7-I$8</f>
      </c>
      <c r="J9" s="2">
        <f>J$7-J$8</f>
      </c>
      <c r="K9" s="2">
        <f>K$7-K$8</f>
      </c>
      <c r="L9" s="2">
        <f>L$7-L$8</f>
      </c>
      <c r="M9" s="2">
        <f>M$7-M$8</f>
      </c>
      <c r="N9" s="2">
        <f>N$7-N$8</f>
      </c>
      <c r="O9" s="2">
        <f>O$7-O$8</f>
      </c>
      <c r="P9" s="2">
        <f>P$7-P$8</f>
      </c>
      <c r="Q9" s="2">
        <f>Q$7-Q$8</f>
      </c>
      <c r="R9" s="2">
        <f>R$7-R$8</f>
      </c>
      <c r="S9" s="2">
        <f>S$7-S$8</f>
      </c>
      <c r="T9" s="2">
        <f>T$7-T$8</f>
      </c>
      <c r="U9" s="2">
        <f>U$7-U$8</f>
      </c>
      <c r="V9" s="2">
        <f>V$7-V$8</f>
      </c>
      <c r="W9" s="2">
        <f>W$7-W$8</f>
      </c>
      <c r="X9" s="2">
        <f>X$7-X$8</f>
      </c>
      <c r="Y9" s="2">
        <f>Y$7-Y$8</f>
      </c>
      <c r="Z9" s="2">
        <f>Z$7-Z$8</f>
      </c>
      <c r="AA9" s="2">
        <f>AA$7-AA$8</f>
      </c>
      <c r="AB9" s="2">
        <f>AB$7-AB$8</f>
      </c>
      <c r="AC9" s="2">
        <f>AC$7-AC$8</f>
      </c>
      <c r="AD9" s="2">
        <f>AD$7-AD$8</f>
      </c>
      <c r="AE9" s="2">
        <f>AE$7-AE$8</f>
      </c>
      <c r="AF9" s="2">
        <f>AF$7-AF$8</f>
      </c>
      <c r="AG9" s="2">
        <f>AG$7-AG$8</f>
      </c>
      <c r="AH9" s="2">
        <f>AH$7-AH$8</f>
      </c>
      <c r="AI9" s="2">
        <f>AI$7-AI$8</f>
      </c>
      <c r="AJ9" s="2">
        <f>AJ$7-AJ$8</f>
      </c>
      <c r="AK9" s="2">
        <f>AK$7-AK$8</f>
      </c>
      <c r="AL9" s="2">
        <f>AL$7-AL$8</f>
      </c>
    </row>
    <row r="10">
      <c r="A10" t="str">
        <v>Founding advisor planned utilization (practice ramp)</v>
      </c>
      <c r="B10" t="str">
        <v>founderUtil</v>
      </c>
      <c r="C10" s="3">
        <f>IF(C$2&lt;=3,Inputs!$B$7,IF(C$2&lt;=6,Inputs!$B$8,IF(C$2&lt;=12,Inputs!$B$9,Inputs!$B$10)))</f>
      </c>
      <c r="D10" s="3">
        <f>IF(D$2&lt;=3,Inputs!$B$7,IF(D$2&lt;=6,Inputs!$B$8,IF(D$2&lt;=12,Inputs!$B$9,Inputs!$B$10)))</f>
      </c>
      <c r="E10" s="3">
        <f>IF(E$2&lt;=3,Inputs!$B$7,IF(E$2&lt;=6,Inputs!$B$8,IF(E$2&lt;=12,Inputs!$B$9,Inputs!$B$10)))</f>
      </c>
      <c r="F10" s="3">
        <f>IF(F$2&lt;=3,Inputs!$B$7,IF(F$2&lt;=6,Inputs!$B$8,IF(F$2&lt;=12,Inputs!$B$9,Inputs!$B$10)))</f>
      </c>
      <c r="G10" s="3">
        <f>IF(G$2&lt;=3,Inputs!$B$7,IF(G$2&lt;=6,Inputs!$B$8,IF(G$2&lt;=12,Inputs!$B$9,Inputs!$B$10)))</f>
      </c>
      <c r="H10" s="3">
        <f>IF(H$2&lt;=3,Inputs!$B$7,IF(H$2&lt;=6,Inputs!$B$8,IF(H$2&lt;=12,Inputs!$B$9,Inputs!$B$10)))</f>
      </c>
      <c r="I10" s="3">
        <f>IF(I$2&lt;=3,Inputs!$B$7,IF(I$2&lt;=6,Inputs!$B$8,IF(I$2&lt;=12,Inputs!$B$9,Inputs!$B$10)))</f>
      </c>
      <c r="J10" s="3">
        <f>IF(J$2&lt;=3,Inputs!$B$7,IF(J$2&lt;=6,Inputs!$B$8,IF(J$2&lt;=12,Inputs!$B$9,Inputs!$B$10)))</f>
      </c>
      <c r="K10" s="3">
        <f>IF(K$2&lt;=3,Inputs!$B$7,IF(K$2&lt;=6,Inputs!$B$8,IF(K$2&lt;=12,Inputs!$B$9,Inputs!$B$10)))</f>
      </c>
      <c r="L10" s="3">
        <f>IF(L$2&lt;=3,Inputs!$B$7,IF(L$2&lt;=6,Inputs!$B$8,IF(L$2&lt;=12,Inputs!$B$9,Inputs!$B$10)))</f>
      </c>
      <c r="M10" s="3">
        <f>IF(M$2&lt;=3,Inputs!$B$7,IF(M$2&lt;=6,Inputs!$B$8,IF(M$2&lt;=12,Inputs!$B$9,Inputs!$B$10)))</f>
      </c>
      <c r="N10" s="3">
        <f>IF(N$2&lt;=3,Inputs!$B$7,IF(N$2&lt;=6,Inputs!$B$8,IF(N$2&lt;=12,Inputs!$B$9,Inputs!$B$10)))</f>
      </c>
      <c r="O10" s="3">
        <f>IF(O$2&lt;=3,Inputs!$B$7,IF(O$2&lt;=6,Inputs!$B$8,IF(O$2&lt;=12,Inputs!$B$9,Inputs!$B$10)))</f>
      </c>
      <c r="P10" s="3">
        <f>IF(P$2&lt;=3,Inputs!$B$7,IF(P$2&lt;=6,Inputs!$B$8,IF(P$2&lt;=12,Inputs!$B$9,Inputs!$B$10)))</f>
      </c>
      <c r="Q10" s="3">
        <f>IF(Q$2&lt;=3,Inputs!$B$7,IF(Q$2&lt;=6,Inputs!$B$8,IF(Q$2&lt;=12,Inputs!$B$9,Inputs!$B$10)))</f>
      </c>
      <c r="R10" s="3">
        <f>IF(R$2&lt;=3,Inputs!$B$7,IF(R$2&lt;=6,Inputs!$B$8,IF(R$2&lt;=12,Inputs!$B$9,Inputs!$B$10)))</f>
      </c>
      <c r="S10" s="3">
        <f>IF(S$2&lt;=3,Inputs!$B$7,IF(S$2&lt;=6,Inputs!$B$8,IF(S$2&lt;=12,Inputs!$B$9,Inputs!$B$10)))</f>
      </c>
      <c r="T10" s="3">
        <f>IF(T$2&lt;=3,Inputs!$B$7,IF(T$2&lt;=6,Inputs!$B$8,IF(T$2&lt;=12,Inputs!$B$9,Inputs!$B$10)))</f>
      </c>
      <c r="U10" s="3">
        <f>IF(U$2&lt;=3,Inputs!$B$7,IF(U$2&lt;=6,Inputs!$B$8,IF(U$2&lt;=12,Inputs!$B$9,Inputs!$B$10)))</f>
      </c>
      <c r="V10" s="3">
        <f>IF(V$2&lt;=3,Inputs!$B$7,IF(V$2&lt;=6,Inputs!$B$8,IF(V$2&lt;=12,Inputs!$B$9,Inputs!$B$10)))</f>
      </c>
      <c r="W10" s="3">
        <f>IF(W$2&lt;=3,Inputs!$B$7,IF(W$2&lt;=6,Inputs!$B$8,IF(W$2&lt;=12,Inputs!$B$9,Inputs!$B$10)))</f>
      </c>
      <c r="X10" s="3">
        <f>IF(X$2&lt;=3,Inputs!$B$7,IF(X$2&lt;=6,Inputs!$B$8,IF(X$2&lt;=12,Inputs!$B$9,Inputs!$B$10)))</f>
      </c>
      <c r="Y10" s="3">
        <f>IF(Y$2&lt;=3,Inputs!$B$7,IF(Y$2&lt;=6,Inputs!$B$8,IF(Y$2&lt;=12,Inputs!$B$9,Inputs!$B$10)))</f>
      </c>
      <c r="Z10" s="3">
        <f>IF(Z$2&lt;=3,Inputs!$B$7,IF(Z$2&lt;=6,Inputs!$B$8,IF(Z$2&lt;=12,Inputs!$B$9,Inputs!$B$10)))</f>
      </c>
      <c r="AA10" s="3">
        <f>IF(AA$2&lt;=3,Inputs!$B$7,IF(AA$2&lt;=6,Inputs!$B$8,IF(AA$2&lt;=12,Inputs!$B$9,Inputs!$B$10)))</f>
      </c>
      <c r="AB10" s="3">
        <f>IF(AB$2&lt;=3,Inputs!$B$7,IF(AB$2&lt;=6,Inputs!$B$8,IF(AB$2&lt;=12,Inputs!$B$9,Inputs!$B$10)))</f>
      </c>
      <c r="AC10" s="3">
        <f>IF(AC$2&lt;=3,Inputs!$B$7,IF(AC$2&lt;=6,Inputs!$B$8,IF(AC$2&lt;=12,Inputs!$B$9,Inputs!$B$10)))</f>
      </c>
      <c r="AD10" s="3">
        <f>IF(AD$2&lt;=3,Inputs!$B$7,IF(AD$2&lt;=6,Inputs!$B$8,IF(AD$2&lt;=12,Inputs!$B$9,Inputs!$B$10)))</f>
      </c>
      <c r="AE10" s="3">
        <f>IF(AE$2&lt;=3,Inputs!$B$7,IF(AE$2&lt;=6,Inputs!$B$8,IF(AE$2&lt;=12,Inputs!$B$9,Inputs!$B$10)))</f>
      </c>
      <c r="AF10" s="3">
        <f>IF(AF$2&lt;=3,Inputs!$B$7,IF(AF$2&lt;=6,Inputs!$B$8,IF(AF$2&lt;=12,Inputs!$B$9,Inputs!$B$10)))</f>
      </c>
      <c r="AG10" s="3">
        <f>IF(AG$2&lt;=3,Inputs!$B$7,IF(AG$2&lt;=6,Inputs!$B$8,IF(AG$2&lt;=12,Inputs!$B$9,Inputs!$B$10)))</f>
      </c>
      <c r="AH10" s="3">
        <f>IF(AH$2&lt;=3,Inputs!$B$7,IF(AH$2&lt;=6,Inputs!$B$8,IF(AH$2&lt;=12,Inputs!$B$9,Inputs!$B$10)))</f>
      </c>
      <c r="AI10" s="3">
        <f>IF(AI$2&lt;=3,Inputs!$B$7,IF(AI$2&lt;=6,Inputs!$B$8,IF(AI$2&lt;=12,Inputs!$B$9,Inputs!$B$10)))</f>
      </c>
      <c r="AJ10" s="3">
        <f>IF(AJ$2&lt;=3,Inputs!$B$7,IF(AJ$2&lt;=6,Inputs!$B$8,IF(AJ$2&lt;=12,Inputs!$B$9,Inputs!$B$10)))</f>
      </c>
      <c r="AK10" s="3">
        <f>IF(AK$2&lt;=3,Inputs!$B$7,IF(AK$2&lt;=6,Inputs!$B$8,IF(AK$2&lt;=12,Inputs!$B$9,Inputs!$B$10)))</f>
      </c>
      <c r="AL10" s="3">
        <f>IF(AL$2&lt;=3,Inputs!$B$7,IF(AL$2&lt;=6,Inputs!$B$8,IF(AL$2&lt;=12,Inputs!$B$9,Inputs!$B$10)))</f>
      </c>
    </row>
    <row r="11">
      <c r="A11" t="str">
        <v>Hires still inside new-hire ramp</v>
      </c>
      <c r="B11" t="str">
        <v>rampingHires</v>
      </c>
      <c r="C11" s="4">
        <f>C$6-IF(C$2-Inputs!$B$16&lt;1,0,INDEX(C$6:C$6,1,MAX(1,C$2-Inputs!$B$16)))</f>
      </c>
      <c r="D11" s="4">
        <f>D$6-IF(D$2-Inputs!$B$16&lt;1,0,INDEX(C$6:D$6,1,MAX(1,D$2-Inputs!$B$16)))</f>
      </c>
      <c r="E11" s="4">
        <f>E$6-IF(E$2-Inputs!$B$16&lt;1,0,INDEX(C$6:E$6,1,MAX(1,E$2-Inputs!$B$16)))</f>
      </c>
      <c r="F11" s="4">
        <f>F$6-IF(F$2-Inputs!$B$16&lt;1,0,INDEX(C$6:F$6,1,MAX(1,F$2-Inputs!$B$16)))</f>
      </c>
      <c r="G11" s="4">
        <f>G$6-IF(G$2-Inputs!$B$16&lt;1,0,INDEX(C$6:G$6,1,MAX(1,G$2-Inputs!$B$16)))</f>
      </c>
      <c r="H11" s="4">
        <f>H$6-IF(H$2-Inputs!$B$16&lt;1,0,INDEX(C$6:H$6,1,MAX(1,H$2-Inputs!$B$16)))</f>
      </c>
      <c r="I11" s="4">
        <f>I$6-IF(I$2-Inputs!$B$16&lt;1,0,INDEX(C$6:I$6,1,MAX(1,I$2-Inputs!$B$16)))</f>
      </c>
      <c r="J11" s="4">
        <f>J$6-IF(J$2-Inputs!$B$16&lt;1,0,INDEX(C$6:J$6,1,MAX(1,J$2-Inputs!$B$16)))</f>
      </c>
      <c r="K11" s="4">
        <f>K$6-IF(K$2-Inputs!$B$16&lt;1,0,INDEX(C$6:K$6,1,MAX(1,K$2-Inputs!$B$16)))</f>
      </c>
      <c r="L11" s="4">
        <f>L$6-IF(L$2-Inputs!$B$16&lt;1,0,INDEX(C$6:L$6,1,MAX(1,L$2-Inputs!$B$16)))</f>
      </c>
      <c r="M11" s="4">
        <f>M$6-IF(M$2-Inputs!$B$16&lt;1,0,INDEX(C$6:M$6,1,MAX(1,M$2-Inputs!$B$16)))</f>
      </c>
      <c r="N11" s="4">
        <f>N$6-IF(N$2-Inputs!$B$16&lt;1,0,INDEX(C$6:N$6,1,MAX(1,N$2-Inputs!$B$16)))</f>
      </c>
      <c r="O11" s="4">
        <f>O$6-IF(O$2-Inputs!$B$16&lt;1,0,INDEX(C$6:O$6,1,MAX(1,O$2-Inputs!$B$16)))</f>
      </c>
      <c r="P11" s="4">
        <f>P$6-IF(P$2-Inputs!$B$16&lt;1,0,INDEX(C$6:P$6,1,MAX(1,P$2-Inputs!$B$16)))</f>
      </c>
      <c r="Q11" s="4">
        <f>Q$6-IF(Q$2-Inputs!$B$16&lt;1,0,INDEX(C$6:Q$6,1,MAX(1,Q$2-Inputs!$B$16)))</f>
      </c>
      <c r="R11" s="4">
        <f>R$6-IF(R$2-Inputs!$B$16&lt;1,0,INDEX(C$6:R$6,1,MAX(1,R$2-Inputs!$B$16)))</f>
      </c>
      <c r="S11" s="4">
        <f>S$6-IF(S$2-Inputs!$B$16&lt;1,0,INDEX(C$6:S$6,1,MAX(1,S$2-Inputs!$B$16)))</f>
      </c>
      <c r="T11" s="4">
        <f>T$6-IF(T$2-Inputs!$B$16&lt;1,0,INDEX(C$6:T$6,1,MAX(1,T$2-Inputs!$B$16)))</f>
      </c>
      <c r="U11" s="4">
        <f>U$6-IF(U$2-Inputs!$B$16&lt;1,0,INDEX(C$6:U$6,1,MAX(1,U$2-Inputs!$B$16)))</f>
      </c>
      <c r="V11" s="4">
        <f>V$6-IF(V$2-Inputs!$B$16&lt;1,0,INDEX(C$6:V$6,1,MAX(1,V$2-Inputs!$B$16)))</f>
      </c>
      <c r="W11" s="4">
        <f>W$6-IF(W$2-Inputs!$B$16&lt;1,0,INDEX(C$6:W$6,1,MAX(1,W$2-Inputs!$B$16)))</f>
      </c>
      <c r="X11" s="4">
        <f>X$6-IF(X$2-Inputs!$B$16&lt;1,0,INDEX(C$6:X$6,1,MAX(1,X$2-Inputs!$B$16)))</f>
      </c>
      <c r="Y11" s="4">
        <f>Y$6-IF(Y$2-Inputs!$B$16&lt;1,0,INDEX(C$6:Y$6,1,MAX(1,Y$2-Inputs!$B$16)))</f>
      </c>
      <c r="Z11" s="4">
        <f>Z$6-IF(Z$2-Inputs!$B$16&lt;1,0,INDEX(C$6:Z$6,1,MAX(1,Z$2-Inputs!$B$16)))</f>
      </c>
      <c r="AA11" s="4">
        <f>AA$6-IF(AA$2-Inputs!$B$16&lt;1,0,INDEX(C$6:AA$6,1,MAX(1,AA$2-Inputs!$B$16)))</f>
      </c>
      <c r="AB11" s="4">
        <f>AB$6-IF(AB$2-Inputs!$B$16&lt;1,0,INDEX(C$6:AB$6,1,MAX(1,AB$2-Inputs!$B$16)))</f>
      </c>
      <c r="AC11" s="4">
        <f>AC$6-IF(AC$2-Inputs!$B$16&lt;1,0,INDEX(C$6:AC$6,1,MAX(1,AC$2-Inputs!$B$16)))</f>
      </c>
      <c r="AD11" s="4">
        <f>AD$6-IF(AD$2-Inputs!$B$16&lt;1,0,INDEX(C$6:AD$6,1,MAX(1,AD$2-Inputs!$B$16)))</f>
      </c>
      <c r="AE11" s="4">
        <f>AE$6-IF(AE$2-Inputs!$B$16&lt;1,0,INDEX(C$6:AE$6,1,MAX(1,AE$2-Inputs!$B$16)))</f>
      </c>
      <c r="AF11" s="4">
        <f>AF$6-IF(AF$2-Inputs!$B$16&lt;1,0,INDEX(C$6:AF$6,1,MAX(1,AF$2-Inputs!$B$16)))</f>
      </c>
      <c r="AG11" s="4">
        <f>AG$6-IF(AG$2-Inputs!$B$16&lt;1,0,INDEX(C$6:AG$6,1,MAX(1,AG$2-Inputs!$B$16)))</f>
      </c>
      <c r="AH11" s="4">
        <f>AH$6-IF(AH$2-Inputs!$B$16&lt;1,0,INDEX(C$6:AH$6,1,MAX(1,AH$2-Inputs!$B$16)))</f>
      </c>
      <c r="AI11" s="4">
        <f>AI$6-IF(AI$2-Inputs!$B$16&lt;1,0,INDEX(C$6:AI$6,1,MAX(1,AI$2-Inputs!$B$16)))</f>
      </c>
      <c r="AJ11" s="4">
        <f>AJ$6-IF(AJ$2-Inputs!$B$16&lt;1,0,INDEX(C$6:AJ$6,1,MAX(1,AJ$2-Inputs!$B$16)))</f>
      </c>
      <c r="AK11" s="4">
        <f>AK$6-IF(AK$2-Inputs!$B$16&lt;1,0,INDEX(C$6:AK$6,1,MAX(1,AK$2-Inputs!$B$16)))</f>
      </c>
      <c r="AL11" s="4">
        <f>AL$6-IF(AL$2-Inputs!$B$16&lt;1,0,INDEX(C$6:AL$6,1,MAX(1,AL$2-Inputs!$B$16)))</f>
      </c>
    </row>
    <row r="12">
      <c r="A12" t="str">
        <v>Sum of hired advisors planned utilization</v>
      </c>
      <c r="B12" t="str">
        <v>hireUtilSum</v>
      </c>
      <c r="C12" s="4">
        <f>C$6*Inputs!$B$10-C$11*(Inputs!$B$10-MIN(Inputs!$B$17,Inputs!$B$10))</f>
      </c>
      <c r="D12" s="4">
        <f>D$6*Inputs!$B$10-D$11*(Inputs!$B$10-MIN(Inputs!$B$17,Inputs!$B$10))</f>
      </c>
      <c r="E12" s="4">
        <f>E$6*Inputs!$B$10-E$11*(Inputs!$B$10-MIN(Inputs!$B$17,Inputs!$B$10))</f>
      </c>
      <c r="F12" s="4">
        <f>F$6*Inputs!$B$10-F$11*(Inputs!$B$10-MIN(Inputs!$B$17,Inputs!$B$10))</f>
      </c>
      <c r="G12" s="4">
        <f>G$6*Inputs!$B$10-G$11*(Inputs!$B$10-MIN(Inputs!$B$17,Inputs!$B$10))</f>
      </c>
      <c r="H12" s="4">
        <f>H$6*Inputs!$B$10-H$11*(Inputs!$B$10-MIN(Inputs!$B$17,Inputs!$B$10))</f>
      </c>
      <c r="I12" s="4">
        <f>I$6*Inputs!$B$10-I$11*(Inputs!$B$10-MIN(Inputs!$B$17,Inputs!$B$10))</f>
      </c>
      <c r="J12" s="4">
        <f>J$6*Inputs!$B$10-J$11*(Inputs!$B$10-MIN(Inputs!$B$17,Inputs!$B$10))</f>
      </c>
      <c r="K12" s="4">
        <f>K$6*Inputs!$B$10-K$11*(Inputs!$B$10-MIN(Inputs!$B$17,Inputs!$B$10))</f>
      </c>
      <c r="L12" s="4">
        <f>L$6*Inputs!$B$10-L$11*(Inputs!$B$10-MIN(Inputs!$B$17,Inputs!$B$10))</f>
      </c>
      <c r="M12" s="4">
        <f>M$6*Inputs!$B$10-M$11*(Inputs!$B$10-MIN(Inputs!$B$17,Inputs!$B$10))</f>
      </c>
      <c r="N12" s="4">
        <f>N$6*Inputs!$B$10-N$11*(Inputs!$B$10-MIN(Inputs!$B$17,Inputs!$B$10))</f>
      </c>
      <c r="O12" s="4">
        <f>O$6*Inputs!$B$10-O$11*(Inputs!$B$10-MIN(Inputs!$B$17,Inputs!$B$10))</f>
      </c>
      <c r="P12" s="4">
        <f>P$6*Inputs!$B$10-P$11*(Inputs!$B$10-MIN(Inputs!$B$17,Inputs!$B$10))</f>
      </c>
      <c r="Q12" s="4">
        <f>Q$6*Inputs!$B$10-Q$11*(Inputs!$B$10-MIN(Inputs!$B$17,Inputs!$B$10))</f>
      </c>
      <c r="R12" s="4">
        <f>R$6*Inputs!$B$10-R$11*(Inputs!$B$10-MIN(Inputs!$B$17,Inputs!$B$10))</f>
      </c>
      <c r="S12" s="4">
        <f>S$6*Inputs!$B$10-S$11*(Inputs!$B$10-MIN(Inputs!$B$17,Inputs!$B$10))</f>
      </c>
      <c r="T12" s="4">
        <f>T$6*Inputs!$B$10-T$11*(Inputs!$B$10-MIN(Inputs!$B$17,Inputs!$B$10))</f>
      </c>
      <c r="U12" s="4">
        <f>U$6*Inputs!$B$10-U$11*(Inputs!$B$10-MIN(Inputs!$B$17,Inputs!$B$10))</f>
      </c>
      <c r="V12" s="4">
        <f>V$6*Inputs!$B$10-V$11*(Inputs!$B$10-MIN(Inputs!$B$17,Inputs!$B$10))</f>
      </c>
      <c r="W12" s="4">
        <f>W$6*Inputs!$B$10-W$11*(Inputs!$B$10-MIN(Inputs!$B$17,Inputs!$B$10))</f>
      </c>
      <c r="X12" s="4">
        <f>X$6*Inputs!$B$10-X$11*(Inputs!$B$10-MIN(Inputs!$B$17,Inputs!$B$10))</f>
      </c>
      <c r="Y12" s="4">
        <f>Y$6*Inputs!$B$10-Y$11*(Inputs!$B$10-MIN(Inputs!$B$17,Inputs!$B$10))</f>
      </c>
      <c r="Z12" s="4">
        <f>Z$6*Inputs!$B$10-Z$11*(Inputs!$B$10-MIN(Inputs!$B$17,Inputs!$B$10))</f>
      </c>
      <c r="AA12" s="4">
        <f>AA$6*Inputs!$B$10-AA$11*(Inputs!$B$10-MIN(Inputs!$B$17,Inputs!$B$10))</f>
      </c>
      <c r="AB12" s="4">
        <f>AB$6*Inputs!$B$10-AB$11*(Inputs!$B$10-MIN(Inputs!$B$17,Inputs!$B$10))</f>
      </c>
      <c r="AC12" s="4">
        <f>AC$6*Inputs!$B$10-AC$11*(Inputs!$B$10-MIN(Inputs!$B$17,Inputs!$B$10))</f>
      </c>
      <c r="AD12" s="4">
        <f>AD$6*Inputs!$B$10-AD$11*(Inputs!$B$10-MIN(Inputs!$B$17,Inputs!$B$10))</f>
      </c>
      <c r="AE12" s="4">
        <f>AE$6*Inputs!$B$10-AE$11*(Inputs!$B$10-MIN(Inputs!$B$17,Inputs!$B$10))</f>
      </c>
      <c r="AF12" s="4">
        <f>AF$6*Inputs!$B$10-AF$11*(Inputs!$B$10-MIN(Inputs!$B$17,Inputs!$B$10))</f>
      </c>
      <c r="AG12" s="4">
        <f>AG$6*Inputs!$B$10-AG$11*(Inputs!$B$10-MIN(Inputs!$B$17,Inputs!$B$10))</f>
      </c>
      <c r="AH12" s="4">
        <f>AH$6*Inputs!$B$10-AH$11*(Inputs!$B$10-MIN(Inputs!$B$17,Inputs!$B$10))</f>
      </c>
      <c r="AI12" s="4">
        <f>AI$6*Inputs!$B$10-AI$11*(Inputs!$B$10-MIN(Inputs!$B$17,Inputs!$B$10))</f>
      </c>
      <c r="AJ12" s="4">
        <f>AJ$6*Inputs!$B$10-AJ$11*(Inputs!$B$10-MIN(Inputs!$B$17,Inputs!$B$10))</f>
      </c>
      <c r="AK12" s="4">
        <f>AK$6*Inputs!$B$10-AK$11*(Inputs!$B$10-MIN(Inputs!$B$17,Inputs!$B$10))</f>
      </c>
      <c r="AL12" s="4">
        <f>AL$6*Inputs!$B$10-AL$11*(Inputs!$B$10-MIN(Inputs!$B$17,Inputs!$B$10))</f>
      </c>
    </row>
    <row r="13">
      <c r="A13" t="str">
        <v>Billable hours per advisor per month</v>
      </c>
      <c r="B13" t="str">
        <v>hoursPerMonth</v>
      </c>
      <c r="C13" s="4">
        <f>Inputs!$B$6/12</f>
      </c>
      <c r="D13" s="4">
        <f>Inputs!$B$6/12</f>
      </c>
      <c r="E13" s="4">
        <f>Inputs!$B$6/12</f>
      </c>
      <c r="F13" s="4">
        <f>Inputs!$B$6/12</f>
      </c>
      <c r="G13" s="4">
        <f>Inputs!$B$6/12</f>
      </c>
      <c r="H13" s="4">
        <f>Inputs!$B$6/12</f>
      </c>
      <c r="I13" s="4">
        <f>Inputs!$B$6/12</f>
      </c>
      <c r="J13" s="4">
        <f>Inputs!$B$6/12</f>
      </c>
      <c r="K13" s="4">
        <f>Inputs!$B$6/12</f>
      </c>
      <c r="L13" s="4">
        <f>Inputs!$B$6/12</f>
      </c>
      <c r="M13" s="4">
        <f>Inputs!$B$6/12</f>
      </c>
      <c r="N13" s="4">
        <f>Inputs!$B$6/12</f>
      </c>
      <c r="O13" s="4">
        <f>Inputs!$B$6/12</f>
      </c>
      <c r="P13" s="4">
        <f>Inputs!$B$6/12</f>
      </c>
      <c r="Q13" s="4">
        <f>Inputs!$B$6/12</f>
      </c>
      <c r="R13" s="4">
        <f>Inputs!$B$6/12</f>
      </c>
      <c r="S13" s="4">
        <f>Inputs!$B$6/12</f>
      </c>
      <c r="T13" s="4">
        <f>Inputs!$B$6/12</f>
      </c>
      <c r="U13" s="4">
        <f>Inputs!$B$6/12</f>
      </c>
      <c r="V13" s="4">
        <f>Inputs!$B$6/12</f>
      </c>
      <c r="W13" s="4">
        <f>Inputs!$B$6/12</f>
      </c>
      <c r="X13" s="4">
        <f>Inputs!$B$6/12</f>
      </c>
      <c r="Y13" s="4">
        <f>Inputs!$B$6/12</f>
      </c>
      <c r="Z13" s="4">
        <f>Inputs!$B$6/12</f>
      </c>
      <c r="AA13" s="4">
        <f>Inputs!$B$6/12</f>
      </c>
      <c r="AB13" s="4">
        <f>Inputs!$B$6/12</f>
      </c>
      <c r="AC13" s="4">
        <f>Inputs!$B$6/12</f>
      </c>
      <c r="AD13" s="4">
        <f>Inputs!$B$6/12</f>
      </c>
      <c r="AE13" s="4">
        <f>Inputs!$B$6/12</f>
      </c>
      <c r="AF13" s="4">
        <f>Inputs!$B$6/12</f>
      </c>
      <c r="AG13" s="4">
        <f>Inputs!$B$6/12</f>
      </c>
      <c r="AH13" s="4">
        <f>Inputs!$B$6/12</f>
      </c>
      <c r="AI13" s="4">
        <f>Inputs!$B$6/12</f>
      </c>
      <c r="AJ13" s="4">
        <f>Inputs!$B$6/12</f>
      </c>
      <c r="AK13" s="4">
        <f>Inputs!$B$6/12</f>
      </c>
      <c r="AL13" s="4">
        <f>Inputs!$B$6/12</f>
      </c>
    </row>
    <row r="14">
      <c r="A14" t="str">
        <v>Advisor capacity hours</v>
      </c>
      <c r="B14" t="str">
        <v>advisorCapacity</v>
      </c>
      <c r="C14" s="4">
        <f>C$13*(Inputs!$B$5*C$10+C$12)</f>
      </c>
      <c r="D14" s="4">
        <f>D$13*(Inputs!$B$5*D$10+D$12)</f>
      </c>
      <c r="E14" s="4">
        <f>E$13*(Inputs!$B$5*E$10+E$12)</f>
      </c>
      <c r="F14" s="4">
        <f>F$13*(Inputs!$B$5*F$10+F$12)</f>
      </c>
      <c r="G14" s="4">
        <f>G$13*(Inputs!$B$5*G$10+G$12)</f>
      </c>
      <c r="H14" s="4">
        <f>H$13*(Inputs!$B$5*H$10+H$12)</f>
      </c>
      <c r="I14" s="4">
        <f>I$13*(Inputs!$B$5*I$10+I$12)</f>
      </c>
      <c r="J14" s="4">
        <f>J$13*(Inputs!$B$5*J$10+J$12)</f>
      </c>
      <c r="K14" s="4">
        <f>K$13*(Inputs!$B$5*K$10+K$12)</f>
      </c>
      <c r="L14" s="4">
        <f>L$13*(Inputs!$B$5*L$10+L$12)</f>
      </c>
      <c r="M14" s="4">
        <f>M$13*(Inputs!$B$5*M$10+M$12)</f>
      </c>
      <c r="N14" s="4">
        <f>N$13*(Inputs!$B$5*N$10+N$12)</f>
      </c>
      <c r="O14" s="4">
        <f>O$13*(Inputs!$B$5*O$10+O$12)</f>
      </c>
      <c r="P14" s="4">
        <f>P$13*(Inputs!$B$5*P$10+P$12)</f>
      </c>
      <c r="Q14" s="4">
        <f>Q$13*(Inputs!$B$5*Q$10+Q$12)</f>
      </c>
      <c r="R14" s="4">
        <f>R$13*(Inputs!$B$5*R$10+R$12)</f>
      </c>
      <c r="S14" s="4">
        <f>S$13*(Inputs!$B$5*S$10+S$12)</f>
      </c>
      <c r="T14" s="4">
        <f>T$13*(Inputs!$B$5*T$10+T$12)</f>
      </c>
      <c r="U14" s="4">
        <f>U$13*(Inputs!$B$5*U$10+U$12)</f>
      </c>
      <c r="V14" s="4">
        <f>V$13*(Inputs!$B$5*V$10+V$12)</f>
      </c>
      <c r="W14" s="4">
        <f>W$13*(Inputs!$B$5*W$10+W$12)</f>
      </c>
      <c r="X14" s="4">
        <f>X$13*(Inputs!$B$5*X$10+X$12)</f>
      </c>
      <c r="Y14" s="4">
        <f>Y$13*(Inputs!$B$5*Y$10+Y$12)</f>
      </c>
      <c r="Z14" s="4">
        <f>Z$13*(Inputs!$B$5*Z$10+Z$12)</f>
      </c>
      <c r="AA14" s="4">
        <f>AA$13*(Inputs!$B$5*AA$10+AA$12)</f>
      </c>
      <c r="AB14" s="4">
        <f>AB$13*(Inputs!$B$5*AB$10+AB$12)</f>
      </c>
      <c r="AC14" s="4">
        <f>AC$13*(Inputs!$B$5*AC$10+AC$12)</f>
      </c>
      <c r="AD14" s="4">
        <f>AD$13*(Inputs!$B$5*AD$10+AD$12)</f>
      </c>
      <c r="AE14" s="4">
        <f>AE$13*(Inputs!$B$5*AE$10+AE$12)</f>
      </c>
      <c r="AF14" s="4">
        <f>AF$13*(Inputs!$B$5*AF$10+AF$12)</f>
      </c>
      <c r="AG14" s="4">
        <f>AG$13*(Inputs!$B$5*AG$10+AG$12)</f>
      </c>
      <c r="AH14" s="4">
        <f>AH$13*(Inputs!$B$5*AH$10+AH$12)</f>
      </c>
      <c r="AI14" s="4">
        <f>AI$13*(Inputs!$B$5*AI$10+AI$12)</f>
      </c>
      <c r="AJ14" s="4">
        <f>AJ$13*(Inputs!$B$5*AJ$10+AJ$12)</f>
      </c>
      <c r="AK14" s="4">
        <f>AK$13*(Inputs!$B$5*AK$10+AK$12)</f>
      </c>
      <c r="AL14" s="4">
        <f>AL$13*(Inputs!$B$5*AL$10+AL$12)</f>
      </c>
    </row>
    <row r="15">
      <c r="A15" t="str">
        <v>Assessments demanded</v>
      </c>
      <c r="B15" t="str">
        <v>assessmentsDemand</v>
      </c>
      <c r="C15" s="4">
        <f>IF(C$2&lt;=3,Inputs!$B$61,IF(C$2&lt;=6,Inputs!$B$62,IF(C$2&lt;=12,Inputs!$B$63,Inputs!$B$63*(1+Inputs!$B$64)^(C$3-1))))*IF(C$2&gt;=Inputs!$B$74,Inputs!$B$73,1)</f>
      </c>
      <c r="D15" s="4">
        <f>IF(D$2&lt;=3,Inputs!$B$61,IF(D$2&lt;=6,Inputs!$B$62,IF(D$2&lt;=12,Inputs!$B$63,Inputs!$B$63*(1+Inputs!$B$64)^(D$3-1))))*IF(D$2&gt;=Inputs!$B$74,Inputs!$B$73,1)</f>
      </c>
      <c r="E15" s="4">
        <f>IF(E$2&lt;=3,Inputs!$B$61,IF(E$2&lt;=6,Inputs!$B$62,IF(E$2&lt;=12,Inputs!$B$63,Inputs!$B$63*(1+Inputs!$B$64)^(E$3-1))))*IF(E$2&gt;=Inputs!$B$74,Inputs!$B$73,1)</f>
      </c>
      <c r="F15" s="4">
        <f>IF(F$2&lt;=3,Inputs!$B$61,IF(F$2&lt;=6,Inputs!$B$62,IF(F$2&lt;=12,Inputs!$B$63,Inputs!$B$63*(1+Inputs!$B$64)^(F$3-1))))*IF(F$2&gt;=Inputs!$B$74,Inputs!$B$73,1)</f>
      </c>
      <c r="G15" s="4">
        <f>IF(G$2&lt;=3,Inputs!$B$61,IF(G$2&lt;=6,Inputs!$B$62,IF(G$2&lt;=12,Inputs!$B$63,Inputs!$B$63*(1+Inputs!$B$64)^(G$3-1))))*IF(G$2&gt;=Inputs!$B$74,Inputs!$B$73,1)</f>
      </c>
      <c r="H15" s="4">
        <f>IF(H$2&lt;=3,Inputs!$B$61,IF(H$2&lt;=6,Inputs!$B$62,IF(H$2&lt;=12,Inputs!$B$63,Inputs!$B$63*(1+Inputs!$B$64)^(H$3-1))))*IF(H$2&gt;=Inputs!$B$74,Inputs!$B$73,1)</f>
      </c>
      <c r="I15" s="4">
        <f>IF(I$2&lt;=3,Inputs!$B$61,IF(I$2&lt;=6,Inputs!$B$62,IF(I$2&lt;=12,Inputs!$B$63,Inputs!$B$63*(1+Inputs!$B$64)^(I$3-1))))*IF(I$2&gt;=Inputs!$B$74,Inputs!$B$73,1)</f>
      </c>
      <c r="J15" s="4">
        <f>IF(J$2&lt;=3,Inputs!$B$61,IF(J$2&lt;=6,Inputs!$B$62,IF(J$2&lt;=12,Inputs!$B$63,Inputs!$B$63*(1+Inputs!$B$64)^(J$3-1))))*IF(J$2&gt;=Inputs!$B$74,Inputs!$B$73,1)</f>
      </c>
      <c r="K15" s="4">
        <f>IF(K$2&lt;=3,Inputs!$B$61,IF(K$2&lt;=6,Inputs!$B$62,IF(K$2&lt;=12,Inputs!$B$63,Inputs!$B$63*(1+Inputs!$B$64)^(K$3-1))))*IF(K$2&gt;=Inputs!$B$74,Inputs!$B$73,1)</f>
      </c>
      <c r="L15" s="4">
        <f>IF(L$2&lt;=3,Inputs!$B$61,IF(L$2&lt;=6,Inputs!$B$62,IF(L$2&lt;=12,Inputs!$B$63,Inputs!$B$63*(1+Inputs!$B$64)^(L$3-1))))*IF(L$2&gt;=Inputs!$B$74,Inputs!$B$73,1)</f>
      </c>
      <c r="M15" s="4">
        <f>IF(M$2&lt;=3,Inputs!$B$61,IF(M$2&lt;=6,Inputs!$B$62,IF(M$2&lt;=12,Inputs!$B$63,Inputs!$B$63*(1+Inputs!$B$64)^(M$3-1))))*IF(M$2&gt;=Inputs!$B$74,Inputs!$B$73,1)</f>
      </c>
      <c r="N15" s="4">
        <f>IF(N$2&lt;=3,Inputs!$B$61,IF(N$2&lt;=6,Inputs!$B$62,IF(N$2&lt;=12,Inputs!$B$63,Inputs!$B$63*(1+Inputs!$B$64)^(N$3-1))))*IF(N$2&gt;=Inputs!$B$74,Inputs!$B$73,1)</f>
      </c>
      <c r="O15" s="4">
        <f>IF(O$2&lt;=3,Inputs!$B$61,IF(O$2&lt;=6,Inputs!$B$62,IF(O$2&lt;=12,Inputs!$B$63,Inputs!$B$63*(1+Inputs!$B$64)^(O$3-1))))*IF(O$2&gt;=Inputs!$B$74,Inputs!$B$73,1)</f>
      </c>
      <c r="P15" s="4">
        <f>IF(P$2&lt;=3,Inputs!$B$61,IF(P$2&lt;=6,Inputs!$B$62,IF(P$2&lt;=12,Inputs!$B$63,Inputs!$B$63*(1+Inputs!$B$64)^(P$3-1))))*IF(P$2&gt;=Inputs!$B$74,Inputs!$B$73,1)</f>
      </c>
      <c r="Q15" s="4">
        <f>IF(Q$2&lt;=3,Inputs!$B$61,IF(Q$2&lt;=6,Inputs!$B$62,IF(Q$2&lt;=12,Inputs!$B$63,Inputs!$B$63*(1+Inputs!$B$64)^(Q$3-1))))*IF(Q$2&gt;=Inputs!$B$74,Inputs!$B$73,1)</f>
      </c>
      <c r="R15" s="4">
        <f>IF(R$2&lt;=3,Inputs!$B$61,IF(R$2&lt;=6,Inputs!$B$62,IF(R$2&lt;=12,Inputs!$B$63,Inputs!$B$63*(1+Inputs!$B$64)^(R$3-1))))*IF(R$2&gt;=Inputs!$B$74,Inputs!$B$73,1)</f>
      </c>
      <c r="S15" s="4">
        <f>IF(S$2&lt;=3,Inputs!$B$61,IF(S$2&lt;=6,Inputs!$B$62,IF(S$2&lt;=12,Inputs!$B$63,Inputs!$B$63*(1+Inputs!$B$64)^(S$3-1))))*IF(S$2&gt;=Inputs!$B$74,Inputs!$B$73,1)</f>
      </c>
      <c r="T15" s="4">
        <f>IF(T$2&lt;=3,Inputs!$B$61,IF(T$2&lt;=6,Inputs!$B$62,IF(T$2&lt;=12,Inputs!$B$63,Inputs!$B$63*(1+Inputs!$B$64)^(T$3-1))))*IF(T$2&gt;=Inputs!$B$74,Inputs!$B$73,1)</f>
      </c>
      <c r="U15" s="4">
        <f>IF(U$2&lt;=3,Inputs!$B$61,IF(U$2&lt;=6,Inputs!$B$62,IF(U$2&lt;=12,Inputs!$B$63,Inputs!$B$63*(1+Inputs!$B$64)^(U$3-1))))*IF(U$2&gt;=Inputs!$B$74,Inputs!$B$73,1)</f>
      </c>
      <c r="V15" s="4">
        <f>IF(V$2&lt;=3,Inputs!$B$61,IF(V$2&lt;=6,Inputs!$B$62,IF(V$2&lt;=12,Inputs!$B$63,Inputs!$B$63*(1+Inputs!$B$64)^(V$3-1))))*IF(V$2&gt;=Inputs!$B$74,Inputs!$B$73,1)</f>
      </c>
      <c r="W15" s="4">
        <f>IF(W$2&lt;=3,Inputs!$B$61,IF(W$2&lt;=6,Inputs!$B$62,IF(W$2&lt;=12,Inputs!$B$63,Inputs!$B$63*(1+Inputs!$B$64)^(W$3-1))))*IF(W$2&gt;=Inputs!$B$74,Inputs!$B$73,1)</f>
      </c>
      <c r="X15" s="4">
        <f>IF(X$2&lt;=3,Inputs!$B$61,IF(X$2&lt;=6,Inputs!$B$62,IF(X$2&lt;=12,Inputs!$B$63,Inputs!$B$63*(1+Inputs!$B$64)^(X$3-1))))*IF(X$2&gt;=Inputs!$B$74,Inputs!$B$73,1)</f>
      </c>
      <c r="Y15" s="4">
        <f>IF(Y$2&lt;=3,Inputs!$B$61,IF(Y$2&lt;=6,Inputs!$B$62,IF(Y$2&lt;=12,Inputs!$B$63,Inputs!$B$63*(1+Inputs!$B$64)^(Y$3-1))))*IF(Y$2&gt;=Inputs!$B$74,Inputs!$B$73,1)</f>
      </c>
      <c r="Z15" s="4">
        <f>IF(Z$2&lt;=3,Inputs!$B$61,IF(Z$2&lt;=6,Inputs!$B$62,IF(Z$2&lt;=12,Inputs!$B$63,Inputs!$B$63*(1+Inputs!$B$64)^(Z$3-1))))*IF(Z$2&gt;=Inputs!$B$74,Inputs!$B$73,1)</f>
      </c>
      <c r="AA15" s="4">
        <f>IF(AA$2&lt;=3,Inputs!$B$61,IF(AA$2&lt;=6,Inputs!$B$62,IF(AA$2&lt;=12,Inputs!$B$63,Inputs!$B$63*(1+Inputs!$B$64)^(AA$3-1))))*IF(AA$2&gt;=Inputs!$B$74,Inputs!$B$73,1)</f>
      </c>
      <c r="AB15" s="4">
        <f>IF(AB$2&lt;=3,Inputs!$B$61,IF(AB$2&lt;=6,Inputs!$B$62,IF(AB$2&lt;=12,Inputs!$B$63,Inputs!$B$63*(1+Inputs!$B$64)^(AB$3-1))))*IF(AB$2&gt;=Inputs!$B$74,Inputs!$B$73,1)</f>
      </c>
      <c r="AC15" s="4">
        <f>IF(AC$2&lt;=3,Inputs!$B$61,IF(AC$2&lt;=6,Inputs!$B$62,IF(AC$2&lt;=12,Inputs!$B$63,Inputs!$B$63*(1+Inputs!$B$64)^(AC$3-1))))*IF(AC$2&gt;=Inputs!$B$74,Inputs!$B$73,1)</f>
      </c>
      <c r="AD15" s="4">
        <f>IF(AD$2&lt;=3,Inputs!$B$61,IF(AD$2&lt;=6,Inputs!$B$62,IF(AD$2&lt;=12,Inputs!$B$63,Inputs!$B$63*(1+Inputs!$B$64)^(AD$3-1))))*IF(AD$2&gt;=Inputs!$B$74,Inputs!$B$73,1)</f>
      </c>
      <c r="AE15" s="4">
        <f>IF(AE$2&lt;=3,Inputs!$B$61,IF(AE$2&lt;=6,Inputs!$B$62,IF(AE$2&lt;=12,Inputs!$B$63,Inputs!$B$63*(1+Inputs!$B$64)^(AE$3-1))))*IF(AE$2&gt;=Inputs!$B$74,Inputs!$B$73,1)</f>
      </c>
      <c r="AF15" s="4">
        <f>IF(AF$2&lt;=3,Inputs!$B$61,IF(AF$2&lt;=6,Inputs!$B$62,IF(AF$2&lt;=12,Inputs!$B$63,Inputs!$B$63*(1+Inputs!$B$64)^(AF$3-1))))*IF(AF$2&gt;=Inputs!$B$74,Inputs!$B$73,1)</f>
      </c>
      <c r="AG15" s="4">
        <f>IF(AG$2&lt;=3,Inputs!$B$61,IF(AG$2&lt;=6,Inputs!$B$62,IF(AG$2&lt;=12,Inputs!$B$63,Inputs!$B$63*(1+Inputs!$B$64)^(AG$3-1))))*IF(AG$2&gt;=Inputs!$B$74,Inputs!$B$73,1)</f>
      </c>
      <c r="AH15" s="4">
        <f>IF(AH$2&lt;=3,Inputs!$B$61,IF(AH$2&lt;=6,Inputs!$B$62,IF(AH$2&lt;=12,Inputs!$B$63,Inputs!$B$63*(1+Inputs!$B$64)^(AH$3-1))))*IF(AH$2&gt;=Inputs!$B$74,Inputs!$B$73,1)</f>
      </c>
      <c r="AI15" s="4">
        <f>IF(AI$2&lt;=3,Inputs!$B$61,IF(AI$2&lt;=6,Inputs!$B$62,IF(AI$2&lt;=12,Inputs!$B$63,Inputs!$B$63*(1+Inputs!$B$64)^(AI$3-1))))*IF(AI$2&gt;=Inputs!$B$74,Inputs!$B$73,1)</f>
      </c>
      <c r="AJ15" s="4">
        <f>IF(AJ$2&lt;=3,Inputs!$B$61,IF(AJ$2&lt;=6,Inputs!$B$62,IF(AJ$2&lt;=12,Inputs!$B$63,Inputs!$B$63*(1+Inputs!$B$64)^(AJ$3-1))))*IF(AJ$2&gt;=Inputs!$B$74,Inputs!$B$73,1)</f>
      </c>
      <c r="AK15" s="4">
        <f>IF(AK$2&lt;=3,Inputs!$B$61,IF(AK$2&lt;=6,Inputs!$B$62,IF(AK$2&lt;=12,Inputs!$B$63,Inputs!$B$63*(1+Inputs!$B$64)^(AK$3-1))))*IF(AK$2&gt;=Inputs!$B$74,Inputs!$B$73,1)</f>
      </c>
      <c r="AL15" s="4">
        <f>IF(AL$2&lt;=3,Inputs!$B$61,IF(AL$2&lt;=6,Inputs!$B$62,IF(AL$2&lt;=12,Inputs!$B$63,Inputs!$B$63*(1+Inputs!$B$64)^(AL$3-1))))*IF(AL$2&gt;=Inputs!$B$74,Inputs!$B$73,1)</f>
      </c>
    </row>
    <row r="16">
      <c r="A16" t="str">
        <v>Backlog weeks entering the month</v>
      </c>
      <c r="B16" t="str">
        <v>prevBacklogWeeks</v>
      </c>
      <c r="C16" s="4">
        <f>0</f>
      </c>
      <c r="D16" s="4">
        <f>C$53</f>
      </c>
      <c r="E16" s="4">
        <f>D$53</f>
      </c>
      <c r="F16" s="4">
        <f>E$53</f>
      </c>
      <c r="G16" s="4">
        <f>F$53</f>
      </c>
      <c r="H16" s="4">
        <f>G$53</f>
      </c>
      <c r="I16" s="4">
        <f>H$53</f>
      </c>
      <c r="J16" s="4">
        <f>I$53</f>
      </c>
      <c r="K16" s="4">
        <f>J$53</f>
      </c>
      <c r="L16" s="4">
        <f>K$53</f>
      </c>
      <c r="M16" s="4">
        <f>L$53</f>
      </c>
      <c r="N16" s="4">
        <f>M$53</f>
      </c>
      <c r="O16" s="4">
        <f>N$53</f>
      </c>
      <c r="P16" s="4">
        <f>O$53</f>
      </c>
      <c r="Q16" s="4">
        <f>P$53</f>
      </c>
      <c r="R16" s="4">
        <f>Q$53</f>
      </c>
      <c r="S16" s="4">
        <f>R$53</f>
      </c>
      <c r="T16" s="4">
        <f>S$53</f>
      </c>
      <c r="U16" s="4">
        <f>T$53</f>
      </c>
      <c r="V16" s="4">
        <f>U$53</f>
      </c>
      <c r="W16" s="4">
        <f>V$53</f>
      </c>
      <c r="X16" s="4">
        <f>W$53</f>
      </c>
      <c r="Y16" s="4">
        <f>X$53</f>
      </c>
      <c r="Z16" s="4">
        <f>Y$53</f>
      </c>
      <c r="AA16" s="4">
        <f>Z$53</f>
      </c>
      <c r="AB16" s="4">
        <f>AA$53</f>
      </c>
      <c r="AC16" s="4">
        <f>AB$53</f>
      </c>
      <c r="AD16" s="4">
        <f>AC$53</f>
      </c>
      <c r="AE16" s="4">
        <f>AD$53</f>
      </c>
      <c r="AF16" s="4">
        <f>AE$53</f>
      </c>
      <c r="AG16" s="4">
        <f>AF$53</f>
      </c>
      <c r="AH16" s="4">
        <f>AG$53</f>
      </c>
      <c r="AI16" s="4">
        <f>AH$53</f>
      </c>
      <c r="AJ16" s="4">
        <f>AI$53</f>
      </c>
      <c r="AK16" s="4">
        <f>AJ$53</f>
      </c>
      <c r="AL16" s="4">
        <f>AK$53</f>
      </c>
    </row>
    <row r="17">
      <c r="A17" t="str">
        <v>Assessments accepted</v>
      </c>
      <c r="B17" t="str">
        <v>assessmentsAccepted</v>
      </c>
      <c r="C17" s="4">
        <f>IF(C$16&gt;Inputs!$B$65,0,C$15)</f>
      </c>
      <c r="D17" s="4">
        <f>IF(D$16&gt;Inputs!$B$65,0,D$15)</f>
      </c>
      <c r="E17" s="4">
        <f>IF(E$16&gt;Inputs!$B$65,0,E$15)</f>
      </c>
      <c r="F17" s="4">
        <f>IF(F$16&gt;Inputs!$B$65,0,F$15)</f>
      </c>
      <c r="G17" s="4">
        <f>IF(G$16&gt;Inputs!$B$65,0,G$15)</f>
      </c>
      <c r="H17" s="4">
        <f>IF(H$16&gt;Inputs!$B$65,0,H$15)</f>
      </c>
      <c r="I17" s="4">
        <f>IF(I$16&gt;Inputs!$B$65,0,I$15)</f>
      </c>
      <c r="J17" s="4">
        <f>IF(J$16&gt;Inputs!$B$65,0,J$15)</f>
      </c>
      <c r="K17" s="4">
        <f>IF(K$16&gt;Inputs!$B$65,0,K$15)</f>
      </c>
      <c r="L17" s="4">
        <f>IF(L$16&gt;Inputs!$B$65,0,L$15)</f>
      </c>
      <c r="M17" s="4">
        <f>IF(M$16&gt;Inputs!$B$65,0,M$15)</f>
      </c>
      <c r="N17" s="4">
        <f>IF(N$16&gt;Inputs!$B$65,0,N$15)</f>
      </c>
      <c r="O17" s="4">
        <f>IF(O$16&gt;Inputs!$B$65,0,O$15)</f>
      </c>
      <c r="P17" s="4">
        <f>IF(P$16&gt;Inputs!$B$65,0,P$15)</f>
      </c>
      <c r="Q17" s="4">
        <f>IF(Q$16&gt;Inputs!$B$65,0,Q$15)</f>
      </c>
      <c r="R17" s="4">
        <f>IF(R$16&gt;Inputs!$B$65,0,R$15)</f>
      </c>
      <c r="S17" s="4">
        <f>IF(S$16&gt;Inputs!$B$65,0,S$15)</f>
      </c>
      <c r="T17" s="4">
        <f>IF(T$16&gt;Inputs!$B$65,0,T$15)</f>
      </c>
      <c r="U17" s="4">
        <f>IF(U$16&gt;Inputs!$B$65,0,U$15)</f>
      </c>
      <c r="V17" s="4">
        <f>IF(V$16&gt;Inputs!$B$65,0,V$15)</f>
      </c>
      <c r="W17" s="4">
        <f>IF(W$16&gt;Inputs!$B$65,0,W$15)</f>
      </c>
      <c r="X17" s="4">
        <f>IF(X$16&gt;Inputs!$B$65,0,X$15)</f>
      </c>
      <c r="Y17" s="4">
        <f>IF(Y$16&gt;Inputs!$B$65,0,Y$15)</f>
      </c>
      <c r="Z17" s="4">
        <f>IF(Z$16&gt;Inputs!$B$65,0,Z$15)</f>
      </c>
      <c r="AA17" s="4">
        <f>IF(AA$16&gt;Inputs!$B$65,0,AA$15)</f>
      </c>
      <c r="AB17" s="4">
        <f>IF(AB$16&gt;Inputs!$B$65,0,AB$15)</f>
      </c>
      <c r="AC17" s="4">
        <f>IF(AC$16&gt;Inputs!$B$65,0,AC$15)</f>
      </c>
      <c r="AD17" s="4">
        <f>IF(AD$16&gt;Inputs!$B$65,0,AD$15)</f>
      </c>
      <c r="AE17" s="4">
        <f>IF(AE$16&gt;Inputs!$B$65,0,AE$15)</f>
      </c>
      <c r="AF17" s="4">
        <f>IF(AF$16&gt;Inputs!$B$65,0,AF$15)</f>
      </c>
      <c r="AG17" s="4">
        <f>IF(AG$16&gt;Inputs!$B$65,0,AG$15)</f>
      </c>
      <c r="AH17" s="4">
        <f>IF(AH$16&gt;Inputs!$B$65,0,AH$15)</f>
      </c>
      <c r="AI17" s="4">
        <f>IF(AI$16&gt;Inputs!$B$65,0,AI$15)</f>
      </c>
      <c r="AJ17" s="4">
        <f>IF(AJ$16&gt;Inputs!$B$65,0,AJ$15)</f>
      </c>
      <c r="AK17" s="4">
        <f>IF(AK$16&gt;Inputs!$B$65,0,AK$15)</f>
      </c>
      <c r="AL17" s="4">
        <f>IF(AL$16&gt;Inputs!$B$65,0,AL$15)</f>
      </c>
    </row>
    <row r="18">
      <c r="A18" t="str">
        <v>Assessments declined (capacity)</v>
      </c>
      <c r="B18" t="str">
        <v>assessmentsLost</v>
      </c>
      <c r="C18" s="4">
        <f>C$15-C$17</f>
      </c>
      <c r="D18" s="4">
        <f>D$15-D$17</f>
      </c>
      <c r="E18" s="4">
        <f>E$15-E$17</f>
      </c>
      <c r="F18" s="4">
        <f>F$15-F$17</f>
      </c>
      <c r="G18" s="4">
        <f>G$15-G$17</f>
      </c>
      <c r="H18" s="4">
        <f>H$15-H$17</f>
      </c>
      <c r="I18" s="4">
        <f>I$15-I$17</f>
      </c>
      <c r="J18" s="4">
        <f>J$15-J$17</f>
      </c>
      <c r="K18" s="4">
        <f>K$15-K$17</f>
      </c>
      <c r="L18" s="4">
        <f>L$15-L$17</f>
      </c>
      <c r="M18" s="4">
        <f>M$15-M$17</f>
      </c>
      <c r="N18" s="4">
        <f>N$15-N$17</f>
      </c>
      <c r="O18" s="4">
        <f>O$15-O$17</f>
      </c>
      <c r="P18" s="4">
        <f>P$15-P$17</f>
      </c>
      <c r="Q18" s="4">
        <f>Q$15-Q$17</f>
      </c>
      <c r="R18" s="4">
        <f>R$15-R$17</f>
      </c>
      <c r="S18" s="4">
        <f>S$15-S$17</f>
      </c>
      <c r="T18" s="4">
        <f>T$15-T$17</f>
      </c>
      <c r="U18" s="4">
        <f>U$15-U$17</f>
      </c>
      <c r="V18" s="4">
        <f>V$15-V$17</f>
      </c>
      <c r="W18" s="4">
        <f>W$15-W$17</f>
      </c>
      <c r="X18" s="4">
        <f>X$15-X$17</f>
      </c>
      <c r="Y18" s="4">
        <f>Y$15-Y$17</f>
      </c>
      <c r="Z18" s="4">
        <f>Z$15-Z$17</f>
      </c>
      <c r="AA18" s="4">
        <f>AA$15-AA$17</f>
      </c>
      <c r="AB18" s="4">
        <f>AB$15-AB$17</f>
      </c>
      <c r="AC18" s="4">
        <f>AC$15-AC$17</f>
      </c>
      <c r="AD18" s="4">
        <f>AD$15-AD$17</f>
      </c>
      <c r="AE18" s="4">
        <f>AE$15-AE$17</f>
      </c>
      <c r="AF18" s="4">
        <f>AF$15-AF$17</f>
      </c>
      <c r="AG18" s="4">
        <f>AG$15-AG$17</f>
      </c>
      <c r="AH18" s="4">
        <f>AH$15-AH$17</f>
      </c>
      <c r="AI18" s="4">
        <f>AI$15-AI$17</f>
      </c>
      <c r="AJ18" s="4">
        <f>AJ$15-AJ$17</f>
      </c>
      <c r="AK18" s="4">
        <f>AK$15-AK$17</f>
      </c>
      <c r="AL18" s="4">
        <f>AL$15-AL$17</f>
      </c>
    </row>
    <row r="19">
      <c r="A19" t="str">
        <v>Sprint starts</v>
      </c>
      <c r="B19" t="str">
        <v>sprintStarts</v>
      </c>
      <c r="C19" s="4">
        <f>0*Inputs!$B$54</f>
      </c>
      <c r="D19" s="4">
        <f>C$17*Inputs!$B$54</f>
      </c>
      <c r="E19" s="4">
        <f>D$17*Inputs!$B$54</f>
      </c>
      <c r="F19" s="4">
        <f>E$17*Inputs!$B$54</f>
      </c>
      <c r="G19" s="4">
        <f>F$17*Inputs!$B$54</f>
      </c>
      <c r="H19" s="4">
        <f>G$17*Inputs!$B$54</f>
      </c>
      <c r="I19" s="4">
        <f>H$17*Inputs!$B$54</f>
      </c>
      <c r="J19" s="4">
        <f>I$17*Inputs!$B$54</f>
      </c>
      <c r="K19" s="4">
        <f>J$17*Inputs!$B$54</f>
      </c>
      <c r="L19" s="4">
        <f>K$17*Inputs!$B$54</f>
      </c>
      <c r="M19" s="4">
        <f>L$17*Inputs!$B$54</f>
      </c>
      <c r="N19" s="4">
        <f>M$17*Inputs!$B$54</f>
      </c>
      <c r="O19" s="4">
        <f>N$17*Inputs!$B$54</f>
      </c>
      <c r="P19" s="4">
        <f>O$17*Inputs!$B$54</f>
      </c>
      <c r="Q19" s="4">
        <f>P$17*Inputs!$B$54</f>
      </c>
      <c r="R19" s="4">
        <f>Q$17*Inputs!$B$54</f>
      </c>
      <c r="S19" s="4">
        <f>R$17*Inputs!$B$54</f>
      </c>
      <c r="T19" s="4">
        <f>S$17*Inputs!$B$54</f>
      </c>
      <c r="U19" s="4">
        <f>T$17*Inputs!$B$54</f>
      </c>
      <c r="V19" s="4">
        <f>U$17*Inputs!$B$54</f>
      </c>
      <c r="W19" s="4">
        <f>V$17*Inputs!$B$54</f>
      </c>
      <c r="X19" s="4">
        <f>W$17*Inputs!$B$54</f>
      </c>
      <c r="Y19" s="4">
        <f>X$17*Inputs!$B$54</f>
      </c>
      <c r="Z19" s="4">
        <f>Y$17*Inputs!$B$54</f>
      </c>
      <c r="AA19" s="4">
        <f>Z$17*Inputs!$B$54</f>
      </c>
      <c r="AB19" s="4">
        <f>AA$17*Inputs!$B$54</f>
      </c>
      <c r="AC19" s="4">
        <f>AB$17*Inputs!$B$54</f>
      </c>
      <c r="AD19" s="4">
        <f>AC$17*Inputs!$B$54</f>
      </c>
      <c r="AE19" s="4">
        <f>AD$17*Inputs!$B$54</f>
      </c>
      <c r="AF19" s="4">
        <f>AE$17*Inputs!$B$54</f>
      </c>
      <c r="AG19" s="4">
        <f>AF$17*Inputs!$B$54</f>
      </c>
      <c r="AH19" s="4">
        <f>AG$17*Inputs!$B$54</f>
      </c>
      <c r="AI19" s="4">
        <f>AH$17*Inputs!$B$54</f>
      </c>
      <c r="AJ19" s="4">
        <f>AI$17*Inputs!$B$54</f>
      </c>
      <c r="AK19" s="4">
        <f>AJ$17*Inputs!$B$54</f>
      </c>
      <c r="AL19" s="4">
        <f>AK$17*Inputs!$B$54</f>
      </c>
    </row>
    <row r="20">
      <c r="A20" t="str">
        <v>Sprint completions</v>
      </c>
      <c r="B20" t="str">
        <v>sprintCompletions</v>
      </c>
      <c r="C20" s="4">
        <f>0</f>
      </c>
      <c r="D20" s="4">
        <f>C$19</f>
      </c>
      <c r="E20" s="4">
        <f>D$19</f>
      </c>
      <c r="F20" s="4">
        <f>E$19</f>
      </c>
      <c r="G20" s="4">
        <f>F$19</f>
      </c>
      <c r="H20" s="4">
        <f>G$19</f>
      </c>
      <c r="I20" s="4">
        <f>H$19</f>
      </c>
      <c r="J20" s="4">
        <f>I$19</f>
      </c>
      <c r="K20" s="4">
        <f>J$19</f>
      </c>
      <c r="L20" s="4">
        <f>K$19</f>
      </c>
      <c r="M20" s="4">
        <f>L$19</f>
      </c>
      <c r="N20" s="4">
        <f>M$19</f>
      </c>
      <c r="O20" s="4">
        <f>N$19</f>
      </c>
      <c r="P20" s="4">
        <f>O$19</f>
      </c>
      <c r="Q20" s="4">
        <f>P$19</f>
      </c>
      <c r="R20" s="4">
        <f>Q$19</f>
      </c>
      <c r="S20" s="4">
        <f>R$19</f>
      </c>
      <c r="T20" s="4">
        <f>S$19</f>
      </c>
      <c r="U20" s="4">
        <f>T$19</f>
      </c>
      <c r="V20" s="4">
        <f>U$19</f>
      </c>
      <c r="W20" s="4">
        <f>V$19</f>
      </c>
      <c r="X20" s="4">
        <f>W$19</f>
      </c>
      <c r="Y20" s="4">
        <f>X$19</f>
      </c>
      <c r="Z20" s="4">
        <f>Y$19</f>
      </c>
      <c r="AA20" s="4">
        <f>Z$19</f>
      </c>
      <c r="AB20" s="4">
        <f>AA$19</f>
      </c>
      <c r="AC20" s="4">
        <f>AB$19</f>
      </c>
      <c r="AD20" s="4">
        <f>AC$19</f>
      </c>
      <c r="AE20" s="4">
        <f>AD$19</f>
      </c>
      <c r="AF20" s="4">
        <f>AE$19</f>
      </c>
      <c r="AG20" s="4">
        <f>AF$19</f>
      </c>
      <c r="AH20" s="4">
        <f>AG$19</f>
      </c>
      <c r="AI20" s="4">
        <f>AH$19</f>
      </c>
      <c r="AJ20" s="4">
        <f>AI$19</f>
      </c>
      <c r="AK20" s="4">
        <f>AJ$19</f>
      </c>
      <c r="AL20" s="4">
        <f>AK$19</f>
      </c>
    </row>
    <row r="21">
      <c r="A21" t="str">
        <v>Retainer starts (new)</v>
      </c>
      <c r="B21" t="str">
        <v>retainerStarts</v>
      </c>
      <c r="C21" s="4">
        <f>0*Inputs!$B$55</f>
      </c>
      <c r="D21" s="4">
        <f>0*Inputs!$B$55</f>
      </c>
      <c r="E21" s="4">
        <f>C$19*Inputs!$B$55</f>
      </c>
      <c r="F21" s="4">
        <f>D$19*Inputs!$B$55</f>
      </c>
      <c r="G21" s="4">
        <f>E$19*Inputs!$B$55</f>
      </c>
      <c r="H21" s="4">
        <f>F$19*Inputs!$B$55</f>
      </c>
      <c r="I21" s="4">
        <f>G$19*Inputs!$B$55</f>
      </c>
      <c r="J21" s="4">
        <f>H$19*Inputs!$B$55</f>
      </c>
      <c r="K21" s="4">
        <f>I$19*Inputs!$B$55</f>
      </c>
      <c r="L21" s="4">
        <f>J$19*Inputs!$B$55</f>
      </c>
      <c r="M21" s="4">
        <f>K$19*Inputs!$B$55</f>
      </c>
      <c r="N21" s="4">
        <f>L$19*Inputs!$B$55</f>
      </c>
      <c r="O21" s="4">
        <f>M$19*Inputs!$B$55</f>
      </c>
      <c r="P21" s="4">
        <f>N$19*Inputs!$B$55</f>
      </c>
      <c r="Q21" s="4">
        <f>O$19*Inputs!$B$55</f>
      </c>
      <c r="R21" s="4">
        <f>P$19*Inputs!$B$55</f>
      </c>
      <c r="S21" s="4">
        <f>Q$19*Inputs!$B$55</f>
      </c>
      <c r="T21" s="4">
        <f>R$19*Inputs!$B$55</f>
      </c>
      <c r="U21" s="4">
        <f>S$19*Inputs!$B$55</f>
      </c>
      <c r="V21" s="4">
        <f>T$19*Inputs!$B$55</f>
      </c>
      <c r="W21" s="4">
        <f>U$19*Inputs!$B$55</f>
      </c>
      <c r="X21" s="4">
        <f>V$19*Inputs!$B$55</f>
      </c>
      <c r="Y21" s="4">
        <f>W$19*Inputs!$B$55</f>
      </c>
      <c r="Z21" s="4">
        <f>X$19*Inputs!$B$55</f>
      </c>
      <c r="AA21" s="4">
        <f>Y$19*Inputs!$B$55</f>
      </c>
      <c r="AB21" s="4">
        <f>Z$19*Inputs!$B$55</f>
      </c>
      <c r="AC21" s="4">
        <f>AA$19*Inputs!$B$55</f>
      </c>
      <c r="AD21" s="4">
        <f>AB$19*Inputs!$B$55</f>
      </c>
      <c r="AE21" s="4">
        <f>AC$19*Inputs!$B$55</f>
      </c>
      <c r="AF21" s="4">
        <f>AD$19*Inputs!$B$55</f>
      </c>
      <c r="AG21" s="4">
        <f>AE$19*Inputs!$B$55</f>
      </c>
      <c r="AH21" s="4">
        <f>AF$19*Inputs!$B$55</f>
      </c>
      <c r="AI21" s="4">
        <f>AG$19*Inputs!$B$55</f>
      </c>
      <c r="AJ21" s="4">
        <f>AH$19*Inputs!$B$55</f>
      </c>
      <c r="AK21" s="4">
        <f>AI$19*Inputs!$B$55</f>
      </c>
      <c r="AL21" s="4">
        <f>AJ$19*Inputs!$B$55</f>
      </c>
    </row>
    <row r="22">
      <c r="A22" t="str">
        <v>Retainer renewals</v>
      </c>
      <c r="B22" t="str">
        <v>renewalStarts</v>
      </c>
      <c r="C22" s="4">
        <f>(0+0)*Inputs!$B$60</f>
      </c>
      <c r="D22" s="4">
        <f>(0+0)*Inputs!$B$60</f>
      </c>
      <c r="E22" s="4">
        <f>(0+0)*Inputs!$B$60</f>
      </c>
      <c r="F22" s="4">
        <f>(0+0)*Inputs!$B$60</f>
      </c>
      <c r="G22" s="4">
        <f>(0+0)*Inputs!$B$60</f>
      </c>
      <c r="H22" s="4">
        <f>(0+0)*Inputs!$B$60</f>
      </c>
      <c r="I22" s="4">
        <f>(0+0)*Inputs!$B$60</f>
      </c>
      <c r="J22" s="4">
        <f>(0+0)*Inputs!$B$60</f>
      </c>
      <c r="K22" s="4">
        <f>(0+0)*Inputs!$B$60</f>
      </c>
      <c r="L22" s="4">
        <f>(0+0)*Inputs!$B$60</f>
      </c>
      <c r="M22" s="4">
        <f>(0+0)*Inputs!$B$60</f>
      </c>
      <c r="N22" s="4">
        <f>(0+0)*Inputs!$B$60</f>
      </c>
      <c r="O22" s="4">
        <f>(C$21+C$22)*Inputs!$B$60</f>
      </c>
      <c r="P22" s="4">
        <f>(D$21+D$22)*Inputs!$B$60</f>
      </c>
      <c r="Q22" s="4">
        <f>(E$21+E$22)*Inputs!$B$60</f>
      </c>
      <c r="R22" s="4">
        <f>(F$21+F$22)*Inputs!$B$60</f>
      </c>
      <c r="S22" s="4">
        <f>(G$21+G$22)*Inputs!$B$60</f>
      </c>
      <c r="T22" s="4">
        <f>(H$21+H$22)*Inputs!$B$60</f>
      </c>
      <c r="U22" s="4">
        <f>(I$21+I$22)*Inputs!$B$60</f>
      </c>
      <c r="V22" s="4">
        <f>(J$21+J$22)*Inputs!$B$60</f>
      </c>
      <c r="W22" s="4">
        <f>(K$21+K$22)*Inputs!$B$60</f>
      </c>
      <c r="X22" s="4">
        <f>(L$21+L$22)*Inputs!$B$60</f>
      </c>
      <c r="Y22" s="4">
        <f>(M$21+M$22)*Inputs!$B$60</f>
      </c>
      <c r="Z22" s="4">
        <f>(N$21+N$22)*Inputs!$B$60</f>
      </c>
      <c r="AA22" s="4">
        <f>(O$21+O$22)*Inputs!$B$60</f>
      </c>
      <c r="AB22" s="4">
        <f>(P$21+P$22)*Inputs!$B$60</f>
      </c>
      <c r="AC22" s="4">
        <f>(Q$21+Q$22)*Inputs!$B$60</f>
      </c>
      <c r="AD22" s="4">
        <f>(R$21+R$22)*Inputs!$B$60</f>
      </c>
      <c r="AE22" s="4">
        <f>(S$21+S$22)*Inputs!$B$60</f>
      </c>
      <c r="AF22" s="4">
        <f>(T$21+T$22)*Inputs!$B$60</f>
      </c>
      <c r="AG22" s="4">
        <f>(U$21+U$22)*Inputs!$B$60</f>
      </c>
      <c r="AH22" s="4">
        <f>(V$21+V$22)*Inputs!$B$60</f>
      </c>
      <c r="AI22" s="4">
        <f>(W$21+W$22)*Inputs!$B$60</f>
      </c>
      <c r="AJ22" s="4">
        <f>(X$21+X$22)*Inputs!$B$60</f>
      </c>
      <c r="AK22" s="4">
        <f>(Y$21+Y$22)*Inputs!$B$60</f>
      </c>
      <c r="AL22" s="4">
        <f>(Z$21+Z$22)*Inputs!$B$60</f>
      </c>
    </row>
    <row r="23">
      <c r="A23" t="str">
        <v>Retainers active</v>
      </c>
      <c r="B23" t="str">
        <v>retainersActive</v>
      </c>
      <c r="C23" s="4">
        <f>SUM(C$21:C$21)+SUM(C$22:C$22)</f>
      </c>
      <c r="D23" s="4">
        <f>SUM(C$21:D$21)+SUM(C$22:D$22)</f>
      </c>
      <c r="E23" s="4">
        <f>SUM(C$21:E$21)+SUM(C$22:E$22)</f>
      </c>
      <c r="F23" s="4">
        <f>SUM(C$21:F$21)+SUM(C$22:F$22)</f>
      </c>
      <c r="G23" s="4">
        <f>SUM(C$21:G$21)+SUM(C$22:G$22)</f>
      </c>
      <c r="H23" s="4">
        <f>SUM(C$21:H$21)+SUM(C$22:H$22)</f>
      </c>
      <c r="I23" s="4">
        <f>SUM(C$21:I$21)+SUM(C$22:I$22)</f>
      </c>
      <c r="J23" s="4">
        <f>SUM(C$21:J$21)+SUM(C$22:J$22)</f>
      </c>
      <c r="K23" s="4">
        <f>SUM(C$21:K$21)+SUM(C$22:K$22)</f>
      </c>
      <c r="L23" s="4">
        <f>SUM(C$21:L$21)+SUM(C$22:L$22)</f>
      </c>
      <c r="M23" s="4">
        <f>SUM(C$21:M$21)+SUM(C$22:M$22)</f>
      </c>
      <c r="N23" s="4">
        <f>SUM(C$21:N$21)+SUM(C$22:N$22)</f>
      </c>
      <c r="O23" s="4">
        <f>SUM(D$21:O$21)+SUM(D$22:O$22)</f>
      </c>
      <c r="P23" s="4">
        <f>SUM(E$21:P$21)+SUM(E$22:P$22)</f>
      </c>
      <c r="Q23" s="4">
        <f>SUM(F$21:Q$21)+SUM(F$22:Q$22)</f>
      </c>
      <c r="R23" s="4">
        <f>SUM(G$21:R$21)+SUM(G$22:R$22)</f>
      </c>
      <c r="S23" s="4">
        <f>SUM(H$21:S$21)+SUM(H$22:S$22)</f>
      </c>
      <c r="T23" s="4">
        <f>SUM(I$21:T$21)+SUM(I$22:T$22)</f>
      </c>
      <c r="U23" s="4">
        <f>SUM(J$21:U$21)+SUM(J$22:U$22)</f>
      </c>
      <c r="V23" s="4">
        <f>SUM(K$21:V$21)+SUM(K$22:V$22)</f>
      </c>
      <c r="W23" s="4">
        <f>SUM(L$21:W$21)+SUM(L$22:W$22)</f>
      </c>
      <c r="X23" s="4">
        <f>SUM(M$21:X$21)+SUM(M$22:X$22)</f>
      </c>
      <c r="Y23" s="4">
        <f>SUM(N$21:Y$21)+SUM(N$22:Y$22)</f>
      </c>
      <c r="Z23" s="4">
        <f>SUM(O$21:Z$21)+SUM(O$22:Z$22)</f>
      </c>
      <c r="AA23" s="4">
        <f>SUM(P$21:AA$21)+SUM(P$22:AA$22)</f>
      </c>
      <c r="AB23" s="4">
        <f>SUM(Q$21:AB$21)+SUM(Q$22:AB$22)</f>
      </c>
      <c r="AC23" s="4">
        <f>SUM(R$21:AC$21)+SUM(R$22:AC$22)</f>
      </c>
      <c r="AD23" s="4">
        <f>SUM(S$21:AD$21)+SUM(S$22:AD$22)</f>
      </c>
      <c r="AE23" s="4">
        <f>SUM(T$21:AE$21)+SUM(T$22:AE$22)</f>
      </c>
      <c r="AF23" s="4">
        <f>SUM(U$21:AF$21)+SUM(U$22:AF$22)</f>
      </c>
      <c r="AG23" s="4">
        <f>SUM(V$21:AG$21)+SUM(V$22:AG$22)</f>
      </c>
      <c r="AH23" s="4">
        <f>SUM(W$21:AH$21)+SUM(W$22:AH$22)</f>
      </c>
      <c r="AI23" s="4">
        <f>SUM(X$21:AI$21)+SUM(X$22:AI$22)</f>
      </c>
      <c r="AJ23" s="4">
        <f>SUM(Y$21:AJ$21)+SUM(Y$22:AJ$22)</f>
      </c>
      <c r="AK23" s="4">
        <f>SUM(Z$21:AK$21)+SUM(Z$22:AK$22)</f>
      </c>
      <c r="AL23" s="4">
        <f>SUM(AA$21:AL$21)+SUM(AA$22:AL$22)</f>
      </c>
    </row>
    <row r="24">
      <c r="A24" t="str">
        <v>Board readouts delivered</v>
      </c>
      <c r="B24" t="str">
        <v>boardReadouts</v>
      </c>
      <c r="C24" s="4">
        <f>0*Inputs!$B$59+C$22*Inputs!$B$59</f>
      </c>
      <c r="D24" s="4">
        <f>0*Inputs!$B$59+D$22*Inputs!$B$59</f>
      </c>
      <c r="E24" s="4">
        <f>C$19*Inputs!$B$59+E$22*Inputs!$B$59</f>
      </c>
      <c r="F24" s="4">
        <f>D$19*Inputs!$B$59+F$22*Inputs!$B$59</f>
      </c>
      <c r="G24" s="4">
        <f>E$19*Inputs!$B$59+G$22*Inputs!$B$59</f>
      </c>
      <c r="H24" s="4">
        <f>F$19*Inputs!$B$59+H$22*Inputs!$B$59</f>
      </c>
      <c r="I24" s="4">
        <f>G$19*Inputs!$B$59+I$22*Inputs!$B$59</f>
      </c>
      <c r="J24" s="4">
        <f>H$19*Inputs!$B$59+J$22*Inputs!$B$59</f>
      </c>
      <c r="K24" s="4">
        <f>I$19*Inputs!$B$59+K$22*Inputs!$B$59</f>
      </c>
      <c r="L24" s="4">
        <f>J$19*Inputs!$B$59+L$22*Inputs!$B$59</f>
      </c>
      <c r="M24" s="4">
        <f>K$19*Inputs!$B$59+M$22*Inputs!$B$59</f>
      </c>
      <c r="N24" s="4">
        <f>L$19*Inputs!$B$59+N$22*Inputs!$B$59</f>
      </c>
      <c r="O24" s="4">
        <f>M$19*Inputs!$B$59+O$22*Inputs!$B$59</f>
      </c>
      <c r="P24" s="4">
        <f>N$19*Inputs!$B$59+P$22*Inputs!$B$59</f>
      </c>
      <c r="Q24" s="4">
        <f>O$19*Inputs!$B$59+Q$22*Inputs!$B$59</f>
      </c>
      <c r="R24" s="4">
        <f>P$19*Inputs!$B$59+R$22*Inputs!$B$59</f>
      </c>
      <c r="S24" s="4">
        <f>Q$19*Inputs!$B$59+S$22*Inputs!$B$59</f>
      </c>
      <c r="T24" s="4">
        <f>R$19*Inputs!$B$59+T$22*Inputs!$B$59</f>
      </c>
      <c r="U24" s="4">
        <f>S$19*Inputs!$B$59+U$22*Inputs!$B$59</f>
      </c>
      <c r="V24" s="4">
        <f>T$19*Inputs!$B$59+V$22*Inputs!$B$59</f>
      </c>
      <c r="W24" s="4">
        <f>U$19*Inputs!$B$59+W$22*Inputs!$B$59</f>
      </c>
      <c r="X24" s="4">
        <f>V$19*Inputs!$B$59+X$22*Inputs!$B$59</f>
      </c>
      <c r="Y24" s="4">
        <f>W$19*Inputs!$B$59+Y$22*Inputs!$B$59</f>
      </c>
      <c r="Z24" s="4">
        <f>X$19*Inputs!$B$59+Z$22*Inputs!$B$59</f>
      </c>
      <c r="AA24" s="4">
        <f>Y$19*Inputs!$B$59+AA$22*Inputs!$B$59</f>
      </c>
      <c r="AB24" s="4">
        <f>Z$19*Inputs!$B$59+AB$22*Inputs!$B$59</f>
      </c>
      <c r="AC24" s="4">
        <f>AA$19*Inputs!$B$59+AC$22*Inputs!$B$59</f>
      </c>
      <c r="AD24" s="4">
        <f>AB$19*Inputs!$B$59+AD$22*Inputs!$B$59</f>
      </c>
      <c r="AE24" s="4">
        <f>AC$19*Inputs!$B$59+AE$22*Inputs!$B$59</f>
      </c>
      <c r="AF24" s="4">
        <f>AD$19*Inputs!$B$59+AF$22*Inputs!$B$59</f>
      </c>
      <c r="AG24" s="4">
        <f>AE$19*Inputs!$B$59+AG$22*Inputs!$B$59</f>
      </c>
      <c r="AH24" s="4">
        <f>AF$19*Inputs!$B$59+AH$22*Inputs!$B$59</f>
      </c>
      <c r="AI24" s="4">
        <f>AG$19*Inputs!$B$59+AI$22*Inputs!$B$59</f>
      </c>
      <c r="AJ24" s="4">
        <f>AH$19*Inputs!$B$59+AJ$22*Inputs!$B$59</f>
      </c>
      <c r="AK24" s="4">
        <f>AI$19*Inputs!$B$59+AK$22*Inputs!$B$59</f>
      </c>
      <c r="AL24" s="4">
        <f>AJ$19*Inputs!$B$59+AL$22*Inputs!$B$59</f>
      </c>
    </row>
    <row r="25">
      <c r="A25" t="str">
        <v>Falcon Complete add-on customers</v>
      </c>
      <c r="B25" t="str">
        <v>fcCustomers</v>
      </c>
      <c r="C25" s="4">
        <f>IF(C$2&lt;=6,Inputs!$B$66*C$2/6,IF(C$2&lt;=12,Inputs!$B$66+(Inputs!$B$67-Inputs!$B$66)*(C$2-6)/6,IF(C$2&lt;=24,Inputs!$B$67+(Inputs!$B$68-Inputs!$B$67)*(C$2-12)/12,Inputs!$B$68+(Inputs!$B$69-Inputs!$B$68)*(C$2-24)/12)))</f>
      </c>
      <c r="D25" s="4">
        <f>IF(D$2&lt;=6,Inputs!$B$66*D$2/6,IF(D$2&lt;=12,Inputs!$B$66+(Inputs!$B$67-Inputs!$B$66)*(D$2-6)/6,IF(D$2&lt;=24,Inputs!$B$67+(Inputs!$B$68-Inputs!$B$67)*(D$2-12)/12,Inputs!$B$68+(Inputs!$B$69-Inputs!$B$68)*(D$2-24)/12)))</f>
      </c>
      <c r="E25" s="4">
        <f>IF(E$2&lt;=6,Inputs!$B$66*E$2/6,IF(E$2&lt;=12,Inputs!$B$66+(Inputs!$B$67-Inputs!$B$66)*(E$2-6)/6,IF(E$2&lt;=24,Inputs!$B$67+(Inputs!$B$68-Inputs!$B$67)*(E$2-12)/12,Inputs!$B$68+(Inputs!$B$69-Inputs!$B$68)*(E$2-24)/12)))</f>
      </c>
      <c r="F25" s="4">
        <f>IF(F$2&lt;=6,Inputs!$B$66*F$2/6,IF(F$2&lt;=12,Inputs!$B$66+(Inputs!$B$67-Inputs!$B$66)*(F$2-6)/6,IF(F$2&lt;=24,Inputs!$B$67+(Inputs!$B$68-Inputs!$B$67)*(F$2-12)/12,Inputs!$B$68+(Inputs!$B$69-Inputs!$B$68)*(F$2-24)/12)))</f>
      </c>
      <c r="G25" s="4">
        <f>IF(G$2&lt;=6,Inputs!$B$66*G$2/6,IF(G$2&lt;=12,Inputs!$B$66+(Inputs!$B$67-Inputs!$B$66)*(G$2-6)/6,IF(G$2&lt;=24,Inputs!$B$67+(Inputs!$B$68-Inputs!$B$67)*(G$2-12)/12,Inputs!$B$68+(Inputs!$B$69-Inputs!$B$68)*(G$2-24)/12)))</f>
      </c>
      <c r="H25" s="4">
        <f>IF(H$2&lt;=6,Inputs!$B$66*H$2/6,IF(H$2&lt;=12,Inputs!$B$66+(Inputs!$B$67-Inputs!$B$66)*(H$2-6)/6,IF(H$2&lt;=24,Inputs!$B$67+(Inputs!$B$68-Inputs!$B$67)*(H$2-12)/12,Inputs!$B$68+(Inputs!$B$69-Inputs!$B$68)*(H$2-24)/12)))</f>
      </c>
      <c r="I25" s="4">
        <f>IF(I$2&lt;=6,Inputs!$B$66*I$2/6,IF(I$2&lt;=12,Inputs!$B$66+(Inputs!$B$67-Inputs!$B$66)*(I$2-6)/6,IF(I$2&lt;=24,Inputs!$B$67+(Inputs!$B$68-Inputs!$B$67)*(I$2-12)/12,Inputs!$B$68+(Inputs!$B$69-Inputs!$B$68)*(I$2-24)/12)))</f>
      </c>
      <c r="J25" s="4">
        <f>IF(J$2&lt;=6,Inputs!$B$66*J$2/6,IF(J$2&lt;=12,Inputs!$B$66+(Inputs!$B$67-Inputs!$B$66)*(J$2-6)/6,IF(J$2&lt;=24,Inputs!$B$67+(Inputs!$B$68-Inputs!$B$67)*(J$2-12)/12,Inputs!$B$68+(Inputs!$B$69-Inputs!$B$68)*(J$2-24)/12)))</f>
      </c>
      <c r="K25" s="4">
        <f>IF(K$2&lt;=6,Inputs!$B$66*K$2/6,IF(K$2&lt;=12,Inputs!$B$66+(Inputs!$B$67-Inputs!$B$66)*(K$2-6)/6,IF(K$2&lt;=24,Inputs!$B$67+(Inputs!$B$68-Inputs!$B$67)*(K$2-12)/12,Inputs!$B$68+(Inputs!$B$69-Inputs!$B$68)*(K$2-24)/12)))</f>
      </c>
      <c r="L25" s="4">
        <f>IF(L$2&lt;=6,Inputs!$B$66*L$2/6,IF(L$2&lt;=12,Inputs!$B$66+(Inputs!$B$67-Inputs!$B$66)*(L$2-6)/6,IF(L$2&lt;=24,Inputs!$B$67+(Inputs!$B$68-Inputs!$B$67)*(L$2-12)/12,Inputs!$B$68+(Inputs!$B$69-Inputs!$B$68)*(L$2-24)/12)))</f>
      </c>
      <c r="M25" s="4">
        <f>IF(M$2&lt;=6,Inputs!$B$66*M$2/6,IF(M$2&lt;=12,Inputs!$B$66+(Inputs!$B$67-Inputs!$B$66)*(M$2-6)/6,IF(M$2&lt;=24,Inputs!$B$67+(Inputs!$B$68-Inputs!$B$67)*(M$2-12)/12,Inputs!$B$68+(Inputs!$B$69-Inputs!$B$68)*(M$2-24)/12)))</f>
      </c>
      <c r="N25" s="4">
        <f>IF(N$2&lt;=6,Inputs!$B$66*N$2/6,IF(N$2&lt;=12,Inputs!$B$66+(Inputs!$B$67-Inputs!$B$66)*(N$2-6)/6,IF(N$2&lt;=24,Inputs!$B$67+(Inputs!$B$68-Inputs!$B$67)*(N$2-12)/12,Inputs!$B$68+(Inputs!$B$69-Inputs!$B$68)*(N$2-24)/12)))</f>
      </c>
      <c r="O25" s="4">
        <f>IF(O$2&lt;=6,Inputs!$B$66*O$2/6,IF(O$2&lt;=12,Inputs!$B$66+(Inputs!$B$67-Inputs!$B$66)*(O$2-6)/6,IF(O$2&lt;=24,Inputs!$B$67+(Inputs!$B$68-Inputs!$B$67)*(O$2-12)/12,Inputs!$B$68+(Inputs!$B$69-Inputs!$B$68)*(O$2-24)/12)))</f>
      </c>
      <c r="P25" s="4">
        <f>IF(P$2&lt;=6,Inputs!$B$66*P$2/6,IF(P$2&lt;=12,Inputs!$B$66+(Inputs!$B$67-Inputs!$B$66)*(P$2-6)/6,IF(P$2&lt;=24,Inputs!$B$67+(Inputs!$B$68-Inputs!$B$67)*(P$2-12)/12,Inputs!$B$68+(Inputs!$B$69-Inputs!$B$68)*(P$2-24)/12)))</f>
      </c>
      <c r="Q25" s="4">
        <f>IF(Q$2&lt;=6,Inputs!$B$66*Q$2/6,IF(Q$2&lt;=12,Inputs!$B$66+(Inputs!$B$67-Inputs!$B$66)*(Q$2-6)/6,IF(Q$2&lt;=24,Inputs!$B$67+(Inputs!$B$68-Inputs!$B$67)*(Q$2-12)/12,Inputs!$B$68+(Inputs!$B$69-Inputs!$B$68)*(Q$2-24)/12)))</f>
      </c>
      <c r="R25" s="4">
        <f>IF(R$2&lt;=6,Inputs!$B$66*R$2/6,IF(R$2&lt;=12,Inputs!$B$66+(Inputs!$B$67-Inputs!$B$66)*(R$2-6)/6,IF(R$2&lt;=24,Inputs!$B$67+(Inputs!$B$68-Inputs!$B$67)*(R$2-12)/12,Inputs!$B$68+(Inputs!$B$69-Inputs!$B$68)*(R$2-24)/12)))</f>
      </c>
      <c r="S25" s="4">
        <f>IF(S$2&lt;=6,Inputs!$B$66*S$2/6,IF(S$2&lt;=12,Inputs!$B$66+(Inputs!$B$67-Inputs!$B$66)*(S$2-6)/6,IF(S$2&lt;=24,Inputs!$B$67+(Inputs!$B$68-Inputs!$B$67)*(S$2-12)/12,Inputs!$B$68+(Inputs!$B$69-Inputs!$B$68)*(S$2-24)/12)))</f>
      </c>
      <c r="T25" s="4">
        <f>IF(T$2&lt;=6,Inputs!$B$66*T$2/6,IF(T$2&lt;=12,Inputs!$B$66+(Inputs!$B$67-Inputs!$B$66)*(T$2-6)/6,IF(T$2&lt;=24,Inputs!$B$67+(Inputs!$B$68-Inputs!$B$67)*(T$2-12)/12,Inputs!$B$68+(Inputs!$B$69-Inputs!$B$68)*(T$2-24)/12)))</f>
      </c>
      <c r="U25" s="4">
        <f>IF(U$2&lt;=6,Inputs!$B$66*U$2/6,IF(U$2&lt;=12,Inputs!$B$66+(Inputs!$B$67-Inputs!$B$66)*(U$2-6)/6,IF(U$2&lt;=24,Inputs!$B$67+(Inputs!$B$68-Inputs!$B$67)*(U$2-12)/12,Inputs!$B$68+(Inputs!$B$69-Inputs!$B$68)*(U$2-24)/12)))</f>
      </c>
      <c r="V25" s="4">
        <f>IF(V$2&lt;=6,Inputs!$B$66*V$2/6,IF(V$2&lt;=12,Inputs!$B$66+(Inputs!$B$67-Inputs!$B$66)*(V$2-6)/6,IF(V$2&lt;=24,Inputs!$B$67+(Inputs!$B$68-Inputs!$B$67)*(V$2-12)/12,Inputs!$B$68+(Inputs!$B$69-Inputs!$B$68)*(V$2-24)/12)))</f>
      </c>
      <c r="W25" s="4">
        <f>IF(W$2&lt;=6,Inputs!$B$66*W$2/6,IF(W$2&lt;=12,Inputs!$B$66+(Inputs!$B$67-Inputs!$B$66)*(W$2-6)/6,IF(W$2&lt;=24,Inputs!$B$67+(Inputs!$B$68-Inputs!$B$67)*(W$2-12)/12,Inputs!$B$68+(Inputs!$B$69-Inputs!$B$68)*(W$2-24)/12)))</f>
      </c>
      <c r="X25" s="4">
        <f>IF(X$2&lt;=6,Inputs!$B$66*X$2/6,IF(X$2&lt;=12,Inputs!$B$66+(Inputs!$B$67-Inputs!$B$66)*(X$2-6)/6,IF(X$2&lt;=24,Inputs!$B$67+(Inputs!$B$68-Inputs!$B$67)*(X$2-12)/12,Inputs!$B$68+(Inputs!$B$69-Inputs!$B$68)*(X$2-24)/12)))</f>
      </c>
      <c r="Y25" s="4">
        <f>IF(Y$2&lt;=6,Inputs!$B$66*Y$2/6,IF(Y$2&lt;=12,Inputs!$B$66+(Inputs!$B$67-Inputs!$B$66)*(Y$2-6)/6,IF(Y$2&lt;=24,Inputs!$B$67+(Inputs!$B$68-Inputs!$B$67)*(Y$2-12)/12,Inputs!$B$68+(Inputs!$B$69-Inputs!$B$68)*(Y$2-24)/12)))</f>
      </c>
      <c r="Z25" s="4">
        <f>IF(Z$2&lt;=6,Inputs!$B$66*Z$2/6,IF(Z$2&lt;=12,Inputs!$B$66+(Inputs!$B$67-Inputs!$B$66)*(Z$2-6)/6,IF(Z$2&lt;=24,Inputs!$B$67+(Inputs!$B$68-Inputs!$B$67)*(Z$2-12)/12,Inputs!$B$68+(Inputs!$B$69-Inputs!$B$68)*(Z$2-24)/12)))</f>
      </c>
      <c r="AA25" s="4">
        <f>IF(AA$2&lt;=6,Inputs!$B$66*AA$2/6,IF(AA$2&lt;=12,Inputs!$B$66+(Inputs!$B$67-Inputs!$B$66)*(AA$2-6)/6,IF(AA$2&lt;=24,Inputs!$B$67+(Inputs!$B$68-Inputs!$B$67)*(AA$2-12)/12,Inputs!$B$68+(Inputs!$B$69-Inputs!$B$68)*(AA$2-24)/12)))</f>
      </c>
      <c r="AB25" s="4">
        <f>IF(AB$2&lt;=6,Inputs!$B$66*AB$2/6,IF(AB$2&lt;=12,Inputs!$B$66+(Inputs!$B$67-Inputs!$B$66)*(AB$2-6)/6,IF(AB$2&lt;=24,Inputs!$B$67+(Inputs!$B$68-Inputs!$B$67)*(AB$2-12)/12,Inputs!$B$68+(Inputs!$B$69-Inputs!$B$68)*(AB$2-24)/12)))</f>
      </c>
      <c r="AC25" s="4">
        <f>IF(AC$2&lt;=6,Inputs!$B$66*AC$2/6,IF(AC$2&lt;=12,Inputs!$B$66+(Inputs!$B$67-Inputs!$B$66)*(AC$2-6)/6,IF(AC$2&lt;=24,Inputs!$B$67+(Inputs!$B$68-Inputs!$B$67)*(AC$2-12)/12,Inputs!$B$68+(Inputs!$B$69-Inputs!$B$68)*(AC$2-24)/12)))</f>
      </c>
      <c r="AD25" s="4">
        <f>IF(AD$2&lt;=6,Inputs!$B$66*AD$2/6,IF(AD$2&lt;=12,Inputs!$B$66+(Inputs!$B$67-Inputs!$B$66)*(AD$2-6)/6,IF(AD$2&lt;=24,Inputs!$B$67+(Inputs!$B$68-Inputs!$B$67)*(AD$2-12)/12,Inputs!$B$68+(Inputs!$B$69-Inputs!$B$68)*(AD$2-24)/12)))</f>
      </c>
      <c r="AE25" s="4">
        <f>IF(AE$2&lt;=6,Inputs!$B$66*AE$2/6,IF(AE$2&lt;=12,Inputs!$B$66+(Inputs!$B$67-Inputs!$B$66)*(AE$2-6)/6,IF(AE$2&lt;=24,Inputs!$B$67+(Inputs!$B$68-Inputs!$B$67)*(AE$2-12)/12,Inputs!$B$68+(Inputs!$B$69-Inputs!$B$68)*(AE$2-24)/12)))</f>
      </c>
      <c r="AF25" s="4">
        <f>IF(AF$2&lt;=6,Inputs!$B$66*AF$2/6,IF(AF$2&lt;=12,Inputs!$B$66+(Inputs!$B$67-Inputs!$B$66)*(AF$2-6)/6,IF(AF$2&lt;=24,Inputs!$B$67+(Inputs!$B$68-Inputs!$B$67)*(AF$2-12)/12,Inputs!$B$68+(Inputs!$B$69-Inputs!$B$68)*(AF$2-24)/12)))</f>
      </c>
      <c r="AG25" s="4">
        <f>IF(AG$2&lt;=6,Inputs!$B$66*AG$2/6,IF(AG$2&lt;=12,Inputs!$B$66+(Inputs!$B$67-Inputs!$B$66)*(AG$2-6)/6,IF(AG$2&lt;=24,Inputs!$B$67+(Inputs!$B$68-Inputs!$B$67)*(AG$2-12)/12,Inputs!$B$68+(Inputs!$B$69-Inputs!$B$68)*(AG$2-24)/12)))</f>
      </c>
      <c r="AH25" s="4">
        <f>IF(AH$2&lt;=6,Inputs!$B$66*AH$2/6,IF(AH$2&lt;=12,Inputs!$B$66+(Inputs!$B$67-Inputs!$B$66)*(AH$2-6)/6,IF(AH$2&lt;=24,Inputs!$B$67+(Inputs!$B$68-Inputs!$B$67)*(AH$2-12)/12,Inputs!$B$68+(Inputs!$B$69-Inputs!$B$68)*(AH$2-24)/12)))</f>
      </c>
      <c r="AI25" s="4">
        <f>IF(AI$2&lt;=6,Inputs!$B$66*AI$2/6,IF(AI$2&lt;=12,Inputs!$B$66+(Inputs!$B$67-Inputs!$B$66)*(AI$2-6)/6,IF(AI$2&lt;=24,Inputs!$B$67+(Inputs!$B$68-Inputs!$B$67)*(AI$2-12)/12,Inputs!$B$68+(Inputs!$B$69-Inputs!$B$68)*(AI$2-24)/12)))</f>
      </c>
      <c r="AJ25" s="4">
        <f>IF(AJ$2&lt;=6,Inputs!$B$66*AJ$2/6,IF(AJ$2&lt;=12,Inputs!$B$66+(Inputs!$B$67-Inputs!$B$66)*(AJ$2-6)/6,IF(AJ$2&lt;=24,Inputs!$B$67+(Inputs!$B$68-Inputs!$B$67)*(AJ$2-12)/12,Inputs!$B$68+(Inputs!$B$69-Inputs!$B$68)*(AJ$2-24)/12)))</f>
      </c>
      <c r="AK25" s="4">
        <f>IF(AK$2&lt;=6,Inputs!$B$66*AK$2/6,IF(AK$2&lt;=12,Inputs!$B$66+(Inputs!$B$67-Inputs!$B$66)*(AK$2-6)/6,IF(AK$2&lt;=24,Inputs!$B$67+(Inputs!$B$68-Inputs!$B$67)*(AK$2-12)/12,Inputs!$B$68+(Inputs!$B$69-Inputs!$B$68)*(AK$2-24)/12)))</f>
      </c>
      <c r="AL25" s="4">
        <f>IF(AL$2&lt;=6,Inputs!$B$66*AL$2/6,IF(AL$2&lt;=12,Inputs!$B$66+(Inputs!$B$67-Inputs!$B$66)*(AL$2-6)/6,IF(AL$2&lt;=24,Inputs!$B$67+(Inputs!$B$68-Inputs!$B$67)*(AL$2-12)/12,Inputs!$B$68+(Inputs!$B$69-Inputs!$B$68)*(AL$2-24)/12)))</f>
      </c>
    </row>
    <row r="26">
      <c r="A26" t="str">
        <v>Retainer blended hours per month</v>
      </c>
      <c r="B26" t="str">
        <v>retainerBlendedHours</v>
      </c>
      <c r="C26" s="4">
        <f>Inputs!$B$56*Inputs!$B$47+Inputs!$B$57*Inputs!$B$48+Inputs!$B$58*Inputs!$B$49</f>
      </c>
      <c r="D26" s="4">
        <f>Inputs!$B$56*Inputs!$B$47+Inputs!$B$57*Inputs!$B$48+Inputs!$B$58*Inputs!$B$49</f>
      </c>
      <c r="E26" s="4">
        <f>Inputs!$B$56*Inputs!$B$47+Inputs!$B$57*Inputs!$B$48+Inputs!$B$58*Inputs!$B$49</f>
      </c>
      <c r="F26" s="4">
        <f>Inputs!$B$56*Inputs!$B$47+Inputs!$B$57*Inputs!$B$48+Inputs!$B$58*Inputs!$B$49</f>
      </c>
      <c r="G26" s="4">
        <f>Inputs!$B$56*Inputs!$B$47+Inputs!$B$57*Inputs!$B$48+Inputs!$B$58*Inputs!$B$49</f>
      </c>
      <c r="H26" s="4">
        <f>Inputs!$B$56*Inputs!$B$47+Inputs!$B$57*Inputs!$B$48+Inputs!$B$58*Inputs!$B$49</f>
      </c>
      <c r="I26" s="4">
        <f>Inputs!$B$56*Inputs!$B$47+Inputs!$B$57*Inputs!$B$48+Inputs!$B$58*Inputs!$B$49</f>
      </c>
      <c r="J26" s="4">
        <f>Inputs!$B$56*Inputs!$B$47+Inputs!$B$57*Inputs!$B$48+Inputs!$B$58*Inputs!$B$49</f>
      </c>
      <c r="K26" s="4">
        <f>Inputs!$B$56*Inputs!$B$47+Inputs!$B$57*Inputs!$B$48+Inputs!$B$58*Inputs!$B$49</f>
      </c>
      <c r="L26" s="4">
        <f>Inputs!$B$56*Inputs!$B$47+Inputs!$B$57*Inputs!$B$48+Inputs!$B$58*Inputs!$B$49</f>
      </c>
      <c r="M26" s="4">
        <f>Inputs!$B$56*Inputs!$B$47+Inputs!$B$57*Inputs!$B$48+Inputs!$B$58*Inputs!$B$49</f>
      </c>
      <c r="N26" s="4">
        <f>Inputs!$B$56*Inputs!$B$47+Inputs!$B$57*Inputs!$B$48+Inputs!$B$58*Inputs!$B$49</f>
      </c>
      <c r="O26" s="4">
        <f>Inputs!$B$56*Inputs!$B$47+Inputs!$B$57*Inputs!$B$48+Inputs!$B$58*Inputs!$B$49</f>
      </c>
      <c r="P26" s="4">
        <f>Inputs!$B$56*Inputs!$B$47+Inputs!$B$57*Inputs!$B$48+Inputs!$B$58*Inputs!$B$49</f>
      </c>
      <c r="Q26" s="4">
        <f>Inputs!$B$56*Inputs!$B$47+Inputs!$B$57*Inputs!$B$48+Inputs!$B$58*Inputs!$B$49</f>
      </c>
      <c r="R26" s="4">
        <f>Inputs!$B$56*Inputs!$B$47+Inputs!$B$57*Inputs!$B$48+Inputs!$B$58*Inputs!$B$49</f>
      </c>
      <c r="S26" s="4">
        <f>Inputs!$B$56*Inputs!$B$47+Inputs!$B$57*Inputs!$B$48+Inputs!$B$58*Inputs!$B$49</f>
      </c>
      <c r="T26" s="4">
        <f>Inputs!$B$56*Inputs!$B$47+Inputs!$B$57*Inputs!$B$48+Inputs!$B$58*Inputs!$B$49</f>
      </c>
      <c r="U26" s="4">
        <f>Inputs!$B$56*Inputs!$B$47+Inputs!$B$57*Inputs!$B$48+Inputs!$B$58*Inputs!$B$49</f>
      </c>
      <c r="V26" s="4">
        <f>Inputs!$B$56*Inputs!$B$47+Inputs!$B$57*Inputs!$B$48+Inputs!$B$58*Inputs!$B$49</f>
      </c>
      <c r="W26" s="4">
        <f>Inputs!$B$56*Inputs!$B$47+Inputs!$B$57*Inputs!$B$48+Inputs!$B$58*Inputs!$B$49</f>
      </c>
      <c r="X26" s="4">
        <f>Inputs!$B$56*Inputs!$B$47+Inputs!$B$57*Inputs!$B$48+Inputs!$B$58*Inputs!$B$49</f>
      </c>
      <c r="Y26" s="4">
        <f>Inputs!$B$56*Inputs!$B$47+Inputs!$B$57*Inputs!$B$48+Inputs!$B$58*Inputs!$B$49</f>
      </c>
      <c r="Z26" s="4">
        <f>Inputs!$B$56*Inputs!$B$47+Inputs!$B$57*Inputs!$B$48+Inputs!$B$58*Inputs!$B$49</f>
      </c>
      <c r="AA26" s="4">
        <f>Inputs!$B$56*Inputs!$B$47+Inputs!$B$57*Inputs!$B$48+Inputs!$B$58*Inputs!$B$49</f>
      </c>
      <c r="AB26" s="4">
        <f>Inputs!$B$56*Inputs!$B$47+Inputs!$B$57*Inputs!$B$48+Inputs!$B$58*Inputs!$B$49</f>
      </c>
      <c r="AC26" s="4">
        <f>Inputs!$B$56*Inputs!$B$47+Inputs!$B$57*Inputs!$B$48+Inputs!$B$58*Inputs!$B$49</f>
      </c>
      <c r="AD26" s="4">
        <f>Inputs!$B$56*Inputs!$B$47+Inputs!$B$57*Inputs!$B$48+Inputs!$B$58*Inputs!$B$49</f>
      </c>
      <c r="AE26" s="4">
        <f>Inputs!$B$56*Inputs!$B$47+Inputs!$B$57*Inputs!$B$48+Inputs!$B$58*Inputs!$B$49</f>
      </c>
      <c r="AF26" s="4">
        <f>Inputs!$B$56*Inputs!$B$47+Inputs!$B$57*Inputs!$B$48+Inputs!$B$58*Inputs!$B$49</f>
      </c>
      <c r="AG26" s="4">
        <f>Inputs!$B$56*Inputs!$B$47+Inputs!$B$57*Inputs!$B$48+Inputs!$B$58*Inputs!$B$49</f>
      </c>
      <c r="AH26" s="4">
        <f>Inputs!$B$56*Inputs!$B$47+Inputs!$B$57*Inputs!$B$48+Inputs!$B$58*Inputs!$B$49</f>
      </c>
      <c r="AI26" s="4">
        <f>Inputs!$B$56*Inputs!$B$47+Inputs!$B$57*Inputs!$B$48+Inputs!$B$58*Inputs!$B$49</f>
      </c>
      <c r="AJ26" s="4">
        <f>Inputs!$B$56*Inputs!$B$47+Inputs!$B$57*Inputs!$B$48+Inputs!$B$58*Inputs!$B$49</f>
      </c>
      <c r="AK26" s="4">
        <f>Inputs!$B$56*Inputs!$B$47+Inputs!$B$57*Inputs!$B$48+Inputs!$B$58*Inputs!$B$49</f>
      </c>
      <c r="AL26" s="4">
        <f>Inputs!$B$56*Inputs!$B$47+Inputs!$B$57*Inputs!$B$48+Inputs!$B$58*Inputs!$B$49</f>
      </c>
    </row>
    <row r="27">
      <c r="A27" t="str">
        <v>Retainer blended fee per month</v>
      </c>
      <c r="B27" t="str">
        <v>retainerBlendedFee</v>
      </c>
      <c r="C27" s="1">
        <f>Inputs!$B$56*Inputs!$B$35+Inputs!$B$57*Inputs!$B$36+Inputs!$B$58*Inputs!$B$37</f>
      </c>
      <c r="D27" s="1">
        <f>Inputs!$B$56*Inputs!$B$35+Inputs!$B$57*Inputs!$B$36+Inputs!$B$58*Inputs!$B$37</f>
      </c>
      <c r="E27" s="1">
        <f>Inputs!$B$56*Inputs!$B$35+Inputs!$B$57*Inputs!$B$36+Inputs!$B$58*Inputs!$B$37</f>
      </c>
      <c r="F27" s="1">
        <f>Inputs!$B$56*Inputs!$B$35+Inputs!$B$57*Inputs!$B$36+Inputs!$B$58*Inputs!$B$37</f>
      </c>
      <c r="G27" s="1">
        <f>Inputs!$B$56*Inputs!$B$35+Inputs!$B$57*Inputs!$B$36+Inputs!$B$58*Inputs!$B$37</f>
      </c>
      <c r="H27" s="1">
        <f>Inputs!$B$56*Inputs!$B$35+Inputs!$B$57*Inputs!$B$36+Inputs!$B$58*Inputs!$B$37</f>
      </c>
      <c r="I27" s="1">
        <f>Inputs!$B$56*Inputs!$B$35+Inputs!$B$57*Inputs!$B$36+Inputs!$B$58*Inputs!$B$37</f>
      </c>
      <c r="J27" s="1">
        <f>Inputs!$B$56*Inputs!$B$35+Inputs!$B$57*Inputs!$B$36+Inputs!$B$58*Inputs!$B$37</f>
      </c>
      <c r="K27" s="1">
        <f>Inputs!$B$56*Inputs!$B$35+Inputs!$B$57*Inputs!$B$36+Inputs!$B$58*Inputs!$B$37</f>
      </c>
      <c r="L27" s="1">
        <f>Inputs!$B$56*Inputs!$B$35+Inputs!$B$57*Inputs!$B$36+Inputs!$B$58*Inputs!$B$37</f>
      </c>
      <c r="M27" s="1">
        <f>Inputs!$B$56*Inputs!$B$35+Inputs!$B$57*Inputs!$B$36+Inputs!$B$58*Inputs!$B$37</f>
      </c>
      <c r="N27" s="1">
        <f>Inputs!$B$56*Inputs!$B$35+Inputs!$B$57*Inputs!$B$36+Inputs!$B$58*Inputs!$B$37</f>
      </c>
      <c r="O27" s="1">
        <f>Inputs!$B$56*Inputs!$B$35+Inputs!$B$57*Inputs!$B$36+Inputs!$B$58*Inputs!$B$37</f>
      </c>
      <c r="P27" s="1">
        <f>Inputs!$B$56*Inputs!$B$35+Inputs!$B$57*Inputs!$B$36+Inputs!$B$58*Inputs!$B$37</f>
      </c>
      <c r="Q27" s="1">
        <f>Inputs!$B$56*Inputs!$B$35+Inputs!$B$57*Inputs!$B$36+Inputs!$B$58*Inputs!$B$37</f>
      </c>
      <c r="R27" s="1">
        <f>Inputs!$B$56*Inputs!$B$35+Inputs!$B$57*Inputs!$B$36+Inputs!$B$58*Inputs!$B$37</f>
      </c>
      <c r="S27" s="1">
        <f>Inputs!$B$56*Inputs!$B$35+Inputs!$B$57*Inputs!$B$36+Inputs!$B$58*Inputs!$B$37</f>
      </c>
      <c r="T27" s="1">
        <f>Inputs!$B$56*Inputs!$B$35+Inputs!$B$57*Inputs!$B$36+Inputs!$B$58*Inputs!$B$37</f>
      </c>
      <c r="U27" s="1">
        <f>Inputs!$B$56*Inputs!$B$35+Inputs!$B$57*Inputs!$B$36+Inputs!$B$58*Inputs!$B$37</f>
      </c>
      <c r="V27" s="1">
        <f>Inputs!$B$56*Inputs!$B$35+Inputs!$B$57*Inputs!$B$36+Inputs!$B$58*Inputs!$B$37</f>
      </c>
      <c r="W27" s="1">
        <f>Inputs!$B$56*Inputs!$B$35+Inputs!$B$57*Inputs!$B$36+Inputs!$B$58*Inputs!$B$37</f>
      </c>
      <c r="X27" s="1">
        <f>Inputs!$B$56*Inputs!$B$35+Inputs!$B$57*Inputs!$B$36+Inputs!$B$58*Inputs!$B$37</f>
      </c>
      <c r="Y27" s="1">
        <f>Inputs!$B$56*Inputs!$B$35+Inputs!$B$57*Inputs!$B$36+Inputs!$B$58*Inputs!$B$37</f>
      </c>
      <c r="Z27" s="1">
        <f>Inputs!$B$56*Inputs!$B$35+Inputs!$B$57*Inputs!$B$36+Inputs!$B$58*Inputs!$B$37</f>
      </c>
      <c r="AA27" s="1">
        <f>Inputs!$B$56*Inputs!$B$35+Inputs!$B$57*Inputs!$B$36+Inputs!$B$58*Inputs!$B$37</f>
      </c>
      <c r="AB27" s="1">
        <f>Inputs!$B$56*Inputs!$B$35+Inputs!$B$57*Inputs!$B$36+Inputs!$B$58*Inputs!$B$37</f>
      </c>
      <c r="AC27" s="1">
        <f>Inputs!$B$56*Inputs!$B$35+Inputs!$B$57*Inputs!$B$36+Inputs!$B$58*Inputs!$B$37</f>
      </c>
      <c r="AD27" s="1">
        <f>Inputs!$B$56*Inputs!$B$35+Inputs!$B$57*Inputs!$B$36+Inputs!$B$58*Inputs!$B$37</f>
      </c>
      <c r="AE27" s="1">
        <f>Inputs!$B$56*Inputs!$B$35+Inputs!$B$57*Inputs!$B$36+Inputs!$B$58*Inputs!$B$37</f>
      </c>
      <c r="AF27" s="1">
        <f>Inputs!$B$56*Inputs!$B$35+Inputs!$B$57*Inputs!$B$36+Inputs!$B$58*Inputs!$B$37</f>
      </c>
      <c r="AG27" s="1">
        <f>Inputs!$B$56*Inputs!$B$35+Inputs!$B$57*Inputs!$B$36+Inputs!$B$58*Inputs!$B$37</f>
      </c>
      <c r="AH27" s="1">
        <f>Inputs!$B$56*Inputs!$B$35+Inputs!$B$57*Inputs!$B$36+Inputs!$B$58*Inputs!$B$37</f>
      </c>
      <c r="AI27" s="1">
        <f>Inputs!$B$56*Inputs!$B$35+Inputs!$B$57*Inputs!$B$36+Inputs!$B$58*Inputs!$B$37</f>
      </c>
      <c r="AJ27" s="1">
        <f>Inputs!$B$56*Inputs!$B$35+Inputs!$B$57*Inputs!$B$36+Inputs!$B$58*Inputs!$B$37</f>
      </c>
      <c r="AK27" s="1">
        <f>Inputs!$B$56*Inputs!$B$35+Inputs!$B$57*Inputs!$B$36+Inputs!$B$58*Inputs!$B$37</f>
      </c>
      <c r="AL27" s="1">
        <f>Inputs!$B$56*Inputs!$B$35+Inputs!$B$57*Inputs!$B$36+Inputs!$B$58*Inputs!$B$37</f>
      </c>
    </row>
    <row r="28">
      <c r="A28" t="str">
        <v>Demand hours: Assessment</v>
      </c>
      <c r="B28" t="str">
        <v>dh_assessment</v>
      </c>
      <c r="C28" s="4">
        <f>C$17*Inputs!$B$45</f>
      </c>
      <c r="D28" s="4">
        <f>D$17*Inputs!$B$45</f>
      </c>
      <c r="E28" s="4">
        <f>E$17*Inputs!$B$45</f>
      </c>
      <c r="F28" s="4">
        <f>F$17*Inputs!$B$45</f>
      </c>
      <c r="G28" s="4">
        <f>G$17*Inputs!$B$45</f>
      </c>
      <c r="H28" s="4">
        <f>H$17*Inputs!$B$45</f>
      </c>
      <c r="I28" s="4">
        <f>I$17*Inputs!$B$45</f>
      </c>
      <c r="J28" s="4">
        <f>J$17*Inputs!$B$45</f>
      </c>
      <c r="K28" s="4">
        <f>K$17*Inputs!$B$45</f>
      </c>
      <c r="L28" s="4">
        <f>L$17*Inputs!$B$45</f>
      </c>
      <c r="M28" s="4">
        <f>M$17*Inputs!$B$45</f>
      </c>
      <c r="N28" s="4">
        <f>N$17*Inputs!$B$45</f>
      </c>
      <c r="O28" s="4">
        <f>O$17*Inputs!$B$45</f>
      </c>
      <c r="P28" s="4">
        <f>P$17*Inputs!$B$45</f>
      </c>
      <c r="Q28" s="4">
        <f>Q$17*Inputs!$B$45</f>
      </c>
      <c r="R28" s="4">
        <f>R$17*Inputs!$B$45</f>
      </c>
      <c r="S28" s="4">
        <f>S$17*Inputs!$B$45</f>
      </c>
      <c r="T28" s="4">
        <f>T$17*Inputs!$B$45</f>
      </c>
      <c r="U28" s="4">
        <f>U$17*Inputs!$B$45</f>
      </c>
      <c r="V28" s="4">
        <f>V$17*Inputs!$B$45</f>
      </c>
      <c r="W28" s="4">
        <f>W$17*Inputs!$B$45</f>
      </c>
      <c r="X28" s="4">
        <f>X$17*Inputs!$B$45</f>
      </c>
      <c r="Y28" s="4">
        <f>Y$17*Inputs!$B$45</f>
      </c>
      <c r="Z28" s="4">
        <f>Z$17*Inputs!$B$45</f>
      </c>
      <c r="AA28" s="4">
        <f>AA$17*Inputs!$B$45</f>
      </c>
      <c r="AB28" s="4">
        <f>AB$17*Inputs!$B$45</f>
      </c>
      <c r="AC28" s="4">
        <f>AC$17*Inputs!$B$45</f>
      </c>
      <c r="AD28" s="4">
        <f>AD$17*Inputs!$B$45</f>
      </c>
      <c r="AE28" s="4">
        <f>AE$17*Inputs!$B$45</f>
      </c>
      <c r="AF28" s="4">
        <f>AF$17*Inputs!$B$45</f>
      </c>
      <c r="AG28" s="4">
        <f>AG$17*Inputs!$B$45</f>
      </c>
      <c r="AH28" s="4">
        <f>AH$17*Inputs!$B$45</f>
      </c>
      <c r="AI28" s="4">
        <f>AI$17*Inputs!$B$45</f>
      </c>
      <c r="AJ28" s="4">
        <f>AJ$17*Inputs!$B$45</f>
      </c>
      <c r="AK28" s="4">
        <f>AK$17*Inputs!$B$45</f>
      </c>
      <c r="AL28" s="4">
        <f>AL$17*Inputs!$B$45</f>
      </c>
    </row>
    <row r="29">
      <c r="A29" t="str">
        <v>Demand hours: Sprint</v>
      </c>
      <c r="B29" t="str">
        <v>dh_sprint</v>
      </c>
      <c r="C29" s="4">
        <f>C$19*Inputs!$B$46*4/6+0*Inputs!$B$46*2/6</f>
      </c>
      <c r="D29" s="4">
        <f>D$19*Inputs!$B$46*4/6+C$19*Inputs!$B$46*2/6</f>
      </c>
      <c r="E29" s="4">
        <f>E$19*Inputs!$B$46*4/6+D$19*Inputs!$B$46*2/6</f>
      </c>
      <c r="F29" s="4">
        <f>F$19*Inputs!$B$46*4/6+E$19*Inputs!$B$46*2/6</f>
      </c>
      <c r="G29" s="4">
        <f>G$19*Inputs!$B$46*4/6+F$19*Inputs!$B$46*2/6</f>
      </c>
      <c r="H29" s="4">
        <f>H$19*Inputs!$B$46*4/6+G$19*Inputs!$B$46*2/6</f>
      </c>
      <c r="I29" s="4">
        <f>I$19*Inputs!$B$46*4/6+H$19*Inputs!$B$46*2/6</f>
      </c>
      <c r="J29" s="4">
        <f>J$19*Inputs!$B$46*4/6+I$19*Inputs!$B$46*2/6</f>
      </c>
      <c r="K29" s="4">
        <f>K$19*Inputs!$B$46*4/6+J$19*Inputs!$B$46*2/6</f>
      </c>
      <c r="L29" s="4">
        <f>L$19*Inputs!$B$46*4/6+K$19*Inputs!$B$46*2/6</f>
      </c>
      <c r="M29" s="4">
        <f>M$19*Inputs!$B$46*4/6+L$19*Inputs!$B$46*2/6</f>
      </c>
      <c r="N29" s="4">
        <f>N$19*Inputs!$B$46*4/6+M$19*Inputs!$B$46*2/6</f>
      </c>
      <c r="O29" s="4">
        <f>O$19*Inputs!$B$46*4/6+N$19*Inputs!$B$46*2/6</f>
      </c>
      <c r="P29" s="4">
        <f>P$19*Inputs!$B$46*4/6+O$19*Inputs!$B$46*2/6</f>
      </c>
      <c r="Q29" s="4">
        <f>Q$19*Inputs!$B$46*4/6+P$19*Inputs!$B$46*2/6</f>
      </c>
      <c r="R29" s="4">
        <f>R$19*Inputs!$B$46*4/6+Q$19*Inputs!$B$46*2/6</f>
      </c>
      <c r="S29" s="4">
        <f>S$19*Inputs!$B$46*4/6+R$19*Inputs!$B$46*2/6</f>
      </c>
      <c r="T29" s="4">
        <f>T$19*Inputs!$B$46*4/6+S$19*Inputs!$B$46*2/6</f>
      </c>
      <c r="U29" s="4">
        <f>U$19*Inputs!$B$46*4/6+T$19*Inputs!$B$46*2/6</f>
      </c>
      <c r="V29" s="4">
        <f>V$19*Inputs!$B$46*4/6+U$19*Inputs!$B$46*2/6</f>
      </c>
      <c r="W29" s="4">
        <f>W$19*Inputs!$B$46*4/6+V$19*Inputs!$B$46*2/6</f>
      </c>
      <c r="X29" s="4">
        <f>X$19*Inputs!$B$46*4/6+W$19*Inputs!$B$46*2/6</f>
      </c>
      <c r="Y29" s="4">
        <f>Y$19*Inputs!$B$46*4/6+X$19*Inputs!$B$46*2/6</f>
      </c>
      <c r="Z29" s="4">
        <f>Z$19*Inputs!$B$46*4/6+Y$19*Inputs!$B$46*2/6</f>
      </c>
      <c r="AA29" s="4">
        <f>AA$19*Inputs!$B$46*4/6+Z$19*Inputs!$B$46*2/6</f>
      </c>
      <c r="AB29" s="4">
        <f>AB$19*Inputs!$B$46*4/6+AA$19*Inputs!$B$46*2/6</f>
      </c>
      <c r="AC29" s="4">
        <f>AC$19*Inputs!$B$46*4/6+AB$19*Inputs!$B$46*2/6</f>
      </c>
      <c r="AD29" s="4">
        <f>AD$19*Inputs!$B$46*4/6+AC$19*Inputs!$B$46*2/6</f>
      </c>
      <c r="AE29" s="4">
        <f>AE$19*Inputs!$B$46*4/6+AD$19*Inputs!$B$46*2/6</f>
      </c>
      <c r="AF29" s="4">
        <f>AF$19*Inputs!$B$46*4/6+AE$19*Inputs!$B$46*2/6</f>
      </c>
      <c r="AG29" s="4">
        <f>AG$19*Inputs!$B$46*4/6+AF$19*Inputs!$B$46*2/6</f>
      </c>
      <c r="AH29" s="4">
        <f>AH$19*Inputs!$B$46*4/6+AG$19*Inputs!$B$46*2/6</f>
      </c>
      <c r="AI29" s="4">
        <f>AI$19*Inputs!$B$46*4/6+AH$19*Inputs!$B$46*2/6</f>
      </c>
      <c r="AJ29" s="4">
        <f>AJ$19*Inputs!$B$46*4/6+AI$19*Inputs!$B$46*2/6</f>
      </c>
      <c r="AK29" s="4">
        <f>AK$19*Inputs!$B$46*4/6+AJ$19*Inputs!$B$46*2/6</f>
      </c>
      <c r="AL29" s="4">
        <f>AL$19*Inputs!$B$46*4/6+AK$19*Inputs!$B$46*2/6</f>
      </c>
    </row>
    <row r="30">
      <c r="A30" t="str">
        <v>Demand hours: Retainer</v>
      </c>
      <c r="B30" t="str">
        <v>dh_retainer</v>
      </c>
      <c r="C30" s="4">
        <f>C$23*C$26</f>
      </c>
      <c r="D30" s="4">
        <f>D$23*D$26</f>
      </c>
      <c r="E30" s="4">
        <f>E$23*E$26</f>
      </c>
      <c r="F30" s="4">
        <f>F$23*F$26</f>
      </c>
      <c r="G30" s="4">
        <f>G$23*G$26</f>
      </c>
      <c r="H30" s="4">
        <f>H$23*H$26</f>
      </c>
      <c r="I30" s="4">
        <f>I$23*I$26</f>
      </c>
      <c r="J30" s="4">
        <f>J$23*J$26</f>
      </c>
      <c r="K30" s="4">
        <f>K$23*K$26</f>
      </c>
      <c r="L30" s="4">
        <f>L$23*L$26</f>
      </c>
      <c r="M30" s="4">
        <f>M$23*M$26</f>
      </c>
      <c r="N30" s="4">
        <f>N$23*N$26</f>
      </c>
      <c r="O30" s="4">
        <f>O$23*O$26</f>
      </c>
      <c r="P30" s="4">
        <f>P$23*P$26</f>
      </c>
      <c r="Q30" s="4">
        <f>Q$23*Q$26</f>
      </c>
      <c r="R30" s="4">
        <f>R$23*R$26</f>
      </c>
      <c r="S30" s="4">
        <f>S$23*S$26</f>
      </c>
      <c r="T30" s="4">
        <f>T$23*T$26</f>
      </c>
      <c r="U30" s="4">
        <f>U$23*U$26</f>
      </c>
      <c r="V30" s="4">
        <f>V$23*V$26</f>
      </c>
      <c r="W30" s="4">
        <f>W$23*W$26</f>
      </c>
      <c r="X30" s="4">
        <f>X$23*X$26</f>
      </c>
      <c r="Y30" s="4">
        <f>Y$23*Y$26</f>
      </c>
      <c r="Z30" s="4">
        <f>Z$23*Z$26</f>
      </c>
      <c r="AA30" s="4">
        <f>AA$23*AA$26</f>
      </c>
      <c r="AB30" s="4">
        <f>AB$23*AB$26</f>
      </c>
      <c r="AC30" s="4">
        <f>AC$23*AC$26</f>
      </c>
      <c r="AD30" s="4">
        <f>AD$23*AD$26</f>
      </c>
      <c r="AE30" s="4">
        <f>AE$23*AE$26</f>
      </c>
      <c r="AF30" s="4">
        <f>AF$23*AF$26</f>
      </c>
      <c r="AG30" s="4">
        <f>AG$23*AG$26</f>
      </c>
      <c r="AH30" s="4">
        <f>AH$23*AH$26</f>
      </c>
      <c r="AI30" s="4">
        <f>AI$23*AI$26</f>
      </c>
      <c r="AJ30" s="4">
        <f>AJ$23*AJ$26</f>
      </c>
      <c r="AK30" s="4">
        <f>AK$23*AK$26</f>
      </c>
      <c r="AL30" s="4">
        <f>AL$23*AL$26</f>
      </c>
    </row>
    <row r="31">
      <c r="A31" t="str">
        <v>Demand hours: Board readout</v>
      </c>
      <c r="B31" t="str">
        <v>dh_board</v>
      </c>
      <c r="C31" s="4">
        <f>C$24*Inputs!$B$50</f>
      </c>
      <c r="D31" s="4">
        <f>D$24*Inputs!$B$50</f>
      </c>
      <c r="E31" s="4">
        <f>E$24*Inputs!$B$50</f>
      </c>
      <c r="F31" s="4">
        <f>F$24*Inputs!$B$50</f>
      </c>
      <c r="G31" s="4">
        <f>G$24*Inputs!$B$50</f>
      </c>
      <c r="H31" s="4">
        <f>H$24*Inputs!$B$50</f>
      </c>
      <c r="I31" s="4">
        <f>I$24*Inputs!$B$50</f>
      </c>
      <c r="J31" s="4">
        <f>J$24*Inputs!$B$50</f>
      </c>
      <c r="K31" s="4">
        <f>K$24*Inputs!$B$50</f>
      </c>
      <c r="L31" s="4">
        <f>L$24*Inputs!$B$50</f>
      </c>
      <c r="M31" s="4">
        <f>M$24*Inputs!$B$50</f>
      </c>
      <c r="N31" s="4">
        <f>N$24*Inputs!$B$50</f>
      </c>
      <c r="O31" s="4">
        <f>O$24*Inputs!$B$50</f>
      </c>
      <c r="P31" s="4">
        <f>P$24*Inputs!$B$50</f>
      </c>
      <c r="Q31" s="4">
        <f>Q$24*Inputs!$B$50</f>
      </c>
      <c r="R31" s="4">
        <f>R$24*Inputs!$B$50</f>
      </c>
      <c r="S31" s="4">
        <f>S$24*Inputs!$B$50</f>
      </c>
      <c r="T31" s="4">
        <f>T$24*Inputs!$B$50</f>
      </c>
      <c r="U31" s="4">
        <f>U$24*Inputs!$B$50</f>
      </c>
      <c r="V31" s="4">
        <f>V$24*Inputs!$B$50</f>
      </c>
      <c r="W31" s="4">
        <f>W$24*Inputs!$B$50</f>
      </c>
      <c r="X31" s="4">
        <f>X$24*Inputs!$B$50</f>
      </c>
      <c r="Y31" s="4">
        <f>Y$24*Inputs!$B$50</f>
      </c>
      <c r="Z31" s="4">
        <f>Z$24*Inputs!$B$50</f>
      </c>
      <c r="AA31" s="4">
        <f>AA$24*Inputs!$B$50</f>
      </c>
      <c r="AB31" s="4">
        <f>AB$24*Inputs!$B$50</f>
      </c>
      <c r="AC31" s="4">
        <f>AC$24*Inputs!$B$50</f>
      </c>
      <c r="AD31" s="4">
        <f>AD$24*Inputs!$B$50</f>
      </c>
      <c r="AE31" s="4">
        <f>AE$24*Inputs!$B$50</f>
      </c>
      <c r="AF31" s="4">
        <f>AF$24*Inputs!$B$50</f>
      </c>
      <c r="AG31" s="4">
        <f>AG$24*Inputs!$B$50</f>
      </c>
      <c r="AH31" s="4">
        <f>AH$24*Inputs!$B$50</f>
      </c>
      <c r="AI31" s="4">
        <f>AI$24*Inputs!$B$50</f>
      </c>
      <c r="AJ31" s="4">
        <f>AJ$24*Inputs!$B$50</f>
      </c>
      <c r="AK31" s="4">
        <f>AK$24*Inputs!$B$50</f>
      </c>
      <c r="AL31" s="4">
        <f>AL$24*Inputs!$B$50</f>
      </c>
    </row>
    <row r="32">
      <c r="A32" t="str">
        <v>Demand hours: FC add-on oversight</v>
      </c>
      <c r="B32" t="str">
        <v>dh_fcAddon</v>
      </c>
      <c r="C32" s="4">
        <f>C$25*Inputs!$B$51</f>
      </c>
      <c r="D32" s="4">
        <f>D$25*Inputs!$B$51</f>
      </c>
      <c r="E32" s="4">
        <f>E$25*Inputs!$B$51</f>
      </c>
      <c r="F32" s="4">
        <f>F$25*Inputs!$B$51</f>
      </c>
      <c r="G32" s="4">
        <f>G$25*Inputs!$B$51</f>
      </c>
      <c r="H32" s="4">
        <f>H$25*Inputs!$B$51</f>
      </c>
      <c r="I32" s="4">
        <f>I$25*Inputs!$B$51</f>
      </c>
      <c r="J32" s="4">
        <f>J$25*Inputs!$B$51</f>
      </c>
      <c r="K32" s="4">
        <f>K$25*Inputs!$B$51</f>
      </c>
      <c r="L32" s="4">
        <f>L$25*Inputs!$B$51</f>
      </c>
      <c r="M32" s="4">
        <f>M$25*Inputs!$B$51</f>
      </c>
      <c r="N32" s="4">
        <f>N$25*Inputs!$B$51</f>
      </c>
      <c r="O32" s="4">
        <f>O$25*Inputs!$B$51</f>
      </c>
      <c r="P32" s="4">
        <f>P$25*Inputs!$B$51</f>
      </c>
      <c r="Q32" s="4">
        <f>Q$25*Inputs!$B$51</f>
      </c>
      <c r="R32" s="4">
        <f>R$25*Inputs!$B$51</f>
      </c>
      <c r="S32" s="4">
        <f>S$25*Inputs!$B$51</f>
      </c>
      <c r="T32" s="4">
        <f>T$25*Inputs!$B$51</f>
      </c>
      <c r="U32" s="4">
        <f>U$25*Inputs!$B$51</f>
      </c>
      <c r="V32" s="4">
        <f>V$25*Inputs!$B$51</f>
      </c>
      <c r="W32" s="4">
        <f>W$25*Inputs!$B$51</f>
      </c>
      <c r="X32" s="4">
        <f>X$25*Inputs!$B$51</f>
      </c>
      <c r="Y32" s="4">
        <f>Y$25*Inputs!$B$51</f>
      </c>
      <c r="Z32" s="4">
        <f>Z$25*Inputs!$B$51</f>
      </c>
      <c r="AA32" s="4">
        <f>AA$25*Inputs!$B$51</f>
      </c>
      <c r="AB32" s="4">
        <f>AB$25*Inputs!$B$51</f>
      </c>
      <c r="AC32" s="4">
        <f>AC$25*Inputs!$B$51</f>
      </c>
      <c r="AD32" s="4">
        <f>AD$25*Inputs!$B$51</f>
      </c>
      <c r="AE32" s="4">
        <f>AE$25*Inputs!$B$51</f>
      </c>
      <c r="AF32" s="4">
        <f>AF$25*Inputs!$B$51</f>
      </c>
      <c r="AG32" s="4">
        <f>AG$25*Inputs!$B$51</f>
      </c>
      <c r="AH32" s="4">
        <f>AH$25*Inputs!$B$51</f>
      </c>
      <c r="AI32" s="4">
        <f>AI$25*Inputs!$B$51</f>
      </c>
      <c r="AJ32" s="4">
        <f>AJ$25*Inputs!$B$51</f>
      </c>
      <c r="AK32" s="4">
        <f>AK$25*Inputs!$B$51</f>
      </c>
      <c r="AL32" s="4">
        <f>AL$25*Inputs!$B$51</f>
      </c>
    </row>
    <row r="33">
      <c r="A33" t="str">
        <v>FC add-on hours delivered</v>
      </c>
      <c r="B33" t="str">
        <v>fcDelivered</v>
      </c>
      <c r="C33" s="4">
        <f>MIN(C$32,C$14)</f>
      </c>
      <c r="D33" s="4">
        <f>MIN(D$32,D$14)</f>
      </c>
      <c r="E33" s="4">
        <f>MIN(E$32,E$14)</f>
      </c>
      <c r="F33" s="4">
        <f>MIN(F$32,F$14)</f>
      </c>
      <c r="G33" s="4">
        <f>MIN(G$32,G$14)</f>
      </c>
      <c r="H33" s="4">
        <f>MIN(H$32,H$14)</f>
      </c>
      <c r="I33" s="4">
        <f>MIN(I$32,I$14)</f>
      </c>
      <c r="J33" s="4">
        <f>MIN(J$32,J$14)</f>
      </c>
      <c r="K33" s="4">
        <f>MIN(K$32,K$14)</f>
      </c>
      <c r="L33" s="4">
        <f>MIN(L$32,L$14)</f>
      </c>
      <c r="M33" s="4">
        <f>MIN(M$32,M$14)</f>
      </c>
      <c r="N33" s="4">
        <f>MIN(N$32,N$14)</f>
      </c>
      <c r="O33" s="4">
        <f>MIN(O$32,O$14)</f>
      </c>
      <c r="P33" s="4">
        <f>MIN(P$32,P$14)</f>
      </c>
      <c r="Q33" s="4">
        <f>MIN(Q$32,Q$14)</f>
      </c>
      <c r="R33" s="4">
        <f>MIN(R$32,R$14)</f>
      </c>
      <c r="S33" s="4">
        <f>MIN(S$32,S$14)</f>
      </c>
      <c r="T33" s="4">
        <f>MIN(T$32,T$14)</f>
      </c>
      <c r="U33" s="4">
        <f>MIN(U$32,U$14)</f>
      </c>
      <c r="V33" s="4">
        <f>MIN(V$32,V$14)</f>
      </c>
      <c r="W33" s="4">
        <f>MIN(W$32,W$14)</f>
      </c>
      <c r="X33" s="4">
        <f>MIN(X$32,X$14)</f>
      </c>
      <c r="Y33" s="4">
        <f>MIN(Y$32,Y$14)</f>
      </c>
      <c r="Z33" s="4">
        <f>MIN(Z$32,Z$14)</f>
      </c>
      <c r="AA33" s="4">
        <f>MIN(AA$32,AA$14)</f>
      </c>
      <c r="AB33" s="4">
        <f>MIN(AB$32,AB$14)</f>
      </c>
      <c r="AC33" s="4">
        <f>MIN(AC$32,AC$14)</f>
      </c>
      <c r="AD33" s="4">
        <f>MIN(AD$32,AD$14)</f>
      </c>
      <c r="AE33" s="4">
        <f>MIN(AE$32,AE$14)</f>
      </c>
      <c r="AF33" s="4">
        <f>MIN(AF$32,AF$14)</f>
      </c>
      <c r="AG33" s="4">
        <f>MIN(AG$32,AG$14)</f>
      </c>
      <c r="AH33" s="4">
        <f>MIN(AH$32,AH$14)</f>
      </c>
      <c r="AI33" s="4">
        <f>MIN(AI$32,AI$14)</f>
      </c>
      <c r="AJ33" s="4">
        <f>MIN(AJ$32,AJ$14)</f>
      </c>
      <c r="AK33" s="4">
        <f>MIN(AK$32,AK$14)</f>
      </c>
      <c r="AL33" s="4">
        <f>MIN(AL$32,AL$14)</f>
      </c>
    </row>
    <row r="34">
      <c r="A34" t="str">
        <v>Advisor capacity for project work</v>
      </c>
      <c r="B34" t="str">
        <v>capacityForProjects</v>
      </c>
      <c r="C34" s="4">
        <f>MAX(0,C$14-C$32)</f>
      </c>
      <c r="D34" s="4">
        <f>MAX(0,D$14-D$32)</f>
      </c>
      <c r="E34" s="4">
        <f>MAX(0,E$14-E$32)</f>
      </c>
      <c r="F34" s="4">
        <f>MAX(0,F$14-F$32)</f>
      </c>
      <c r="G34" s="4">
        <f>MAX(0,G$14-G$32)</f>
      </c>
      <c r="H34" s="4">
        <f>MAX(0,H$14-H$32)</f>
      </c>
      <c r="I34" s="4">
        <f>MAX(0,I$14-I$32)</f>
      </c>
      <c r="J34" s="4">
        <f>MAX(0,J$14-J$32)</f>
      </c>
      <c r="K34" s="4">
        <f>MAX(0,K$14-K$32)</f>
      </c>
      <c r="L34" s="4">
        <f>MAX(0,L$14-L$32)</f>
      </c>
      <c r="M34" s="4">
        <f>MAX(0,M$14-M$32)</f>
      </c>
      <c r="N34" s="4">
        <f>MAX(0,N$14-N$32)</f>
      </c>
      <c r="O34" s="4">
        <f>MAX(0,O$14-O$32)</f>
      </c>
      <c r="P34" s="4">
        <f>MAX(0,P$14-P$32)</f>
      </c>
      <c r="Q34" s="4">
        <f>MAX(0,Q$14-Q$32)</f>
      </c>
      <c r="R34" s="4">
        <f>MAX(0,R$14-R$32)</f>
      </c>
      <c r="S34" s="4">
        <f>MAX(0,S$14-S$32)</f>
      </c>
      <c r="T34" s="4">
        <f>MAX(0,T$14-T$32)</f>
      </c>
      <c r="U34" s="4">
        <f>MAX(0,U$14-U$32)</f>
      </c>
      <c r="V34" s="4">
        <f>MAX(0,V$14-V$32)</f>
      </c>
      <c r="W34" s="4">
        <f>MAX(0,W$14-W$32)</f>
      </c>
      <c r="X34" s="4">
        <f>MAX(0,X$14-X$32)</f>
      </c>
      <c r="Y34" s="4">
        <f>MAX(0,Y$14-Y$32)</f>
      </c>
      <c r="Z34" s="4">
        <f>MAX(0,Z$14-Z$32)</f>
      </c>
      <c r="AA34" s="4">
        <f>MAX(0,AA$14-AA$32)</f>
      </c>
      <c r="AB34" s="4">
        <f>MAX(0,AB$14-AB$32)</f>
      </c>
      <c r="AC34" s="4">
        <f>MAX(0,AC$14-AC$32)</f>
      </c>
      <c r="AD34" s="4">
        <f>MAX(0,AD$14-AD$32)</f>
      </c>
      <c r="AE34" s="4">
        <f>MAX(0,AE$14-AE$32)</f>
      </c>
      <c r="AF34" s="4">
        <f>MAX(0,AF$14-AF$32)</f>
      </c>
      <c r="AG34" s="4">
        <f>MAX(0,AG$14-AG$32)</f>
      </c>
      <c r="AH34" s="4">
        <f>MAX(0,AH$14-AH$32)</f>
      </c>
      <c r="AI34" s="4">
        <f>MAX(0,AI$14-AI$32)</f>
      </c>
      <c r="AJ34" s="4">
        <f>MAX(0,AJ$14-AJ$32)</f>
      </c>
      <c r="AK34" s="4">
        <f>MAX(0,AK$14-AK$32)</f>
      </c>
      <c r="AL34" s="4">
        <f>MAX(0,AL$14-AL$32)</f>
      </c>
    </row>
    <row r="35">
      <c r="A35" t="str">
        <v>Work pool: Assessment</v>
      </c>
      <c r="B35" t="str">
        <v>pool_assessment</v>
      </c>
      <c r="C35" s="4">
        <f>0+C$28</f>
      </c>
      <c r="D35" s="4">
        <f>C$48+D$28</f>
      </c>
      <c r="E35" s="4">
        <f>D$48+E$28</f>
      </c>
      <c r="F35" s="4">
        <f>E$48+F$28</f>
      </c>
      <c r="G35" s="4">
        <f>F$48+G$28</f>
      </c>
      <c r="H35" s="4">
        <f>G$48+H$28</f>
      </c>
      <c r="I35" s="4">
        <f>H$48+I$28</f>
      </c>
      <c r="J35" s="4">
        <f>I$48+J$28</f>
      </c>
      <c r="K35" s="4">
        <f>J$48+K$28</f>
      </c>
      <c r="L35" s="4">
        <f>K$48+L$28</f>
      </c>
      <c r="M35" s="4">
        <f>L$48+M$28</f>
      </c>
      <c r="N35" s="4">
        <f>M$48+N$28</f>
      </c>
      <c r="O35" s="4">
        <f>N$48+O$28</f>
      </c>
      <c r="P35" s="4">
        <f>O$48+P$28</f>
      </c>
      <c r="Q35" s="4">
        <f>P$48+Q$28</f>
      </c>
      <c r="R35" s="4">
        <f>Q$48+R$28</f>
      </c>
      <c r="S35" s="4">
        <f>R$48+S$28</f>
      </c>
      <c r="T35" s="4">
        <f>S$48+T$28</f>
      </c>
      <c r="U35" s="4">
        <f>T$48+U$28</f>
      </c>
      <c r="V35" s="4">
        <f>U$48+V$28</f>
      </c>
      <c r="W35" s="4">
        <f>V$48+W$28</f>
      </c>
      <c r="X35" s="4">
        <f>W$48+X$28</f>
      </c>
      <c r="Y35" s="4">
        <f>X$48+Y$28</f>
      </c>
      <c r="Z35" s="4">
        <f>Y$48+Z$28</f>
      </c>
      <c r="AA35" s="4">
        <f>Z$48+AA$28</f>
      </c>
      <c r="AB35" s="4">
        <f>AA$48+AB$28</f>
      </c>
      <c r="AC35" s="4">
        <f>AB$48+AC$28</f>
      </c>
      <c r="AD35" s="4">
        <f>AC$48+AD$28</f>
      </c>
      <c r="AE35" s="4">
        <f>AD$48+AE$28</f>
      </c>
      <c r="AF35" s="4">
        <f>AE$48+AF$28</f>
      </c>
      <c r="AG35" s="4">
        <f>AF$48+AG$28</f>
      </c>
      <c r="AH35" s="4">
        <f>AG$48+AH$28</f>
      </c>
      <c r="AI35" s="4">
        <f>AH$48+AI$28</f>
      </c>
      <c r="AJ35" s="4">
        <f>AI$48+AJ$28</f>
      </c>
      <c r="AK35" s="4">
        <f>AJ$48+AK$28</f>
      </c>
      <c r="AL35" s="4">
        <f>AK$48+AL$28</f>
      </c>
    </row>
    <row r="36">
      <c r="A36" t="str">
        <v>Work pool: Sprint</v>
      </c>
      <c r="B36" t="str">
        <v>pool_sprint</v>
      </c>
      <c r="C36" s="4">
        <f>0+C$29</f>
      </c>
      <c r="D36" s="4">
        <f>C$49+D$29</f>
      </c>
      <c r="E36" s="4">
        <f>D$49+E$29</f>
      </c>
      <c r="F36" s="4">
        <f>E$49+F$29</f>
      </c>
      <c r="G36" s="4">
        <f>F$49+G$29</f>
      </c>
      <c r="H36" s="4">
        <f>G$49+H$29</f>
      </c>
      <c r="I36" s="4">
        <f>H$49+I$29</f>
      </c>
      <c r="J36" s="4">
        <f>I$49+J$29</f>
      </c>
      <c r="K36" s="4">
        <f>J$49+K$29</f>
      </c>
      <c r="L36" s="4">
        <f>K$49+L$29</f>
      </c>
      <c r="M36" s="4">
        <f>L$49+M$29</f>
      </c>
      <c r="N36" s="4">
        <f>M$49+N$29</f>
      </c>
      <c r="O36" s="4">
        <f>N$49+O$29</f>
      </c>
      <c r="P36" s="4">
        <f>O$49+P$29</f>
      </c>
      <c r="Q36" s="4">
        <f>P$49+Q$29</f>
      </c>
      <c r="R36" s="4">
        <f>Q$49+R$29</f>
      </c>
      <c r="S36" s="4">
        <f>R$49+S$29</f>
      </c>
      <c r="T36" s="4">
        <f>S$49+T$29</f>
      </c>
      <c r="U36" s="4">
        <f>T$49+U$29</f>
      </c>
      <c r="V36" s="4">
        <f>U$49+V$29</f>
      </c>
      <c r="W36" s="4">
        <f>V$49+W$29</f>
      </c>
      <c r="X36" s="4">
        <f>W$49+X$29</f>
      </c>
      <c r="Y36" s="4">
        <f>X$49+Y$29</f>
      </c>
      <c r="Z36" s="4">
        <f>Y$49+Z$29</f>
      </c>
      <c r="AA36" s="4">
        <f>Z$49+AA$29</f>
      </c>
      <c r="AB36" s="4">
        <f>AA$49+AB$29</f>
      </c>
      <c r="AC36" s="4">
        <f>AB$49+AC$29</f>
      </c>
      <c r="AD36" s="4">
        <f>AC$49+AD$29</f>
      </c>
      <c r="AE36" s="4">
        <f>AD$49+AE$29</f>
      </c>
      <c r="AF36" s="4">
        <f>AE$49+AF$29</f>
      </c>
      <c r="AG36" s="4">
        <f>AF$49+AG$29</f>
      </c>
      <c r="AH36" s="4">
        <f>AG$49+AH$29</f>
      </c>
      <c r="AI36" s="4">
        <f>AH$49+AI$29</f>
      </c>
      <c r="AJ36" s="4">
        <f>AI$49+AJ$29</f>
      </c>
      <c r="AK36" s="4">
        <f>AJ$49+AK$29</f>
      </c>
      <c r="AL36" s="4">
        <f>AK$49+AL$29</f>
      </c>
    </row>
    <row r="37">
      <c r="A37" t="str">
        <v>Work pool: Retainer</v>
      </c>
      <c r="B37" t="str">
        <v>pool_retainer</v>
      </c>
      <c r="C37" s="4">
        <f>0+C$30</f>
      </c>
      <c r="D37" s="4">
        <f>C$50+D$30</f>
      </c>
      <c r="E37" s="4">
        <f>D$50+E$30</f>
      </c>
      <c r="F37" s="4">
        <f>E$50+F$30</f>
      </c>
      <c r="G37" s="4">
        <f>F$50+G$30</f>
      </c>
      <c r="H37" s="4">
        <f>G$50+H$30</f>
      </c>
      <c r="I37" s="4">
        <f>H$50+I$30</f>
      </c>
      <c r="J37" s="4">
        <f>I$50+J$30</f>
      </c>
      <c r="K37" s="4">
        <f>J$50+K$30</f>
      </c>
      <c r="L37" s="4">
        <f>K$50+L$30</f>
      </c>
      <c r="M37" s="4">
        <f>L$50+M$30</f>
      </c>
      <c r="N37" s="4">
        <f>M$50+N$30</f>
      </c>
      <c r="O37" s="4">
        <f>N$50+O$30</f>
      </c>
      <c r="P37" s="4">
        <f>O$50+P$30</f>
      </c>
      <c r="Q37" s="4">
        <f>P$50+Q$30</f>
      </c>
      <c r="R37" s="4">
        <f>Q$50+R$30</f>
      </c>
      <c r="S37" s="4">
        <f>R$50+S$30</f>
      </c>
      <c r="T37" s="4">
        <f>S$50+T$30</f>
      </c>
      <c r="U37" s="4">
        <f>T$50+U$30</f>
      </c>
      <c r="V37" s="4">
        <f>U$50+V$30</f>
      </c>
      <c r="W37" s="4">
        <f>V$50+W$30</f>
      </c>
      <c r="X37" s="4">
        <f>W$50+X$30</f>
      </c>
      <c r="Y37" s="4">
        <f>X$50+Y$30</f>
      </c>
      <c r="Z37" s="4">
        <f>Y$50+Z$30</f>
      </c>
      <c r="AA37" s="4">
        <f>Z$50+AA$30</f>
      </c>
      <c r="AB37" s="4">
        <f>AA$50+AB$30</f>
      </c>
      <c r="AC37" s="4">
        <f>AB$50+AC$30</f>
      </c>
      <c r="AD37" s="4">
        <f>AC$50+AD$30</f>
      </c>
      <c r="AE37" s="4">
        <f>AD$50+AE$30</f>
      </c>
      <c r="AF37" s="4">
        <f>AE$50+AF$30</f>
      </c>
      <c r="AG37" s="4">
        <f>AF$50+AG$30</f>
      </c>
      <c r="AH37" s="4">
        <f>AG$50+AH$30</f>
      </c>
      <c r="AI37" s="4">
        <f>AH$50+AI$30</f>
      </c>
      <c r="AJ37" s="4">
        <f>AI$50+AJ$30</f>
      </c>
      <c r="AK37" s="4">
        <f>AJ$50+AK$30</f>
      </c>
      <c r="AL37" s="4">
        <f>AK$50+AL$30</f>
      </c>
    </row>
    <row r="38">
      <c r="A38" t="str">
        <v>Work pool: Board readout</v>
      </c>
      <c r="B38" t="str">
        <v>pool_board</v>
      </c>
      <c r="C38" s="4">
        <f>0+C$31</f>
      </c>
      <c r="D38" s="4">
        <f>C$51+D$31</f>
      </c>
      <c r="E38" s="4">
        <f>D$51+E$31</f>
      </c>
      <c r="F38" s="4">
        <f>E$51+F$31</f>
      </c>
      <c r="G38" s="4">
        <f>F$51+G$31</f>
      </c>
      <c r="H38" s="4">
        <f>G$51+H$31</f>
      </c>
      <c r="I38" s="4">
        <f>H$51+I$31</f>
      </c>
      <c r="J38" s="4">
        <f>I$51+J$31</f>
      </c>
      <c r="K38" s="4">
        <f>J$51+K$31</f>
      </c>
      <c r="L38" s="4">
        <f>K$51+L$31</f>
      </c>
      <c r="M38" s="4">
        <f>L$51+M$31</f>
      </c>
      <c r="N38" s="4">
        <f>M$51+N$31</f>
      </c>
      <c r="O38" s="4">
        <f>N$51+O$31</f>
      </c>
      <c r="P38" s="4">
        <f>O$51+P$31</f>
      </c>
      <c r="Q38" s="4">
        <f>P$51+Q$31</f>
      </c>
      <c r="R38" s="4">
        <f>Q$51+R$31</f>
      </c>
      <c r="S38" s="4">
        <f>R$51+S$31</f>
      </c>
      <c r="T38" s="4">
        <f>S$51+T$31</f>
      </c>
      <c r="U38" s="4">
        <f>T$51+U$31</f>
      </c>
      <c r="V38" s="4">
        <f>U$51+V$31</f>
      </c>
      <c r="W38" s="4">
        <f>V$51+W$31</f>
      </c>
      <c r="X38" s="4">
        <f>W$51+X$31</f>
      </c>
      <c r="Y38" s="4">
        <f>X$51+Y$31</f>
      </c>
      <c r="Z38" s="4">
        <f>Y$51+Z$31</f>
      </c>
      <c r="AA38" s="4">
        <f>Z$51+AA$31</f>
      </c>
      <c r="AB38" s="4">
        <f>AA$51+AB$31</f>
      </c>
      <c r="AC38" s="4">
        <f>AB$51+AC$31</f>
      </c>
      <c r="AD38" s="4">
        <f>AC$51+AD$31</f>
      </c>
      <c r="AE38" s="4">
        <f>AD$51+AE$31</f>
      </c>
      <c r="AF38" s="4">
        <f>AE$51+AF$31</f>
      </c>
      <c r="AG38" s="4">
        <f>AF$51+AG$31</f>
      </c>
      <c r="AH38" s="4">
        <f>AG$51+AH$31</f>
      </c>
      <c r="AI38" s="4">
        <f>AH$51+AI$31</f>
      </c>
      <c r="AJ38" s="4">
        <f>AI$51+AJ$31</f>
      </c>
      <c r="AK38" s="4">
        <f>AJ$51+AK$31</f>
      </c>
      <c r="AL38" s="4">
        <f>AK$51+AL$31</f>
      </c>
    </row>
    <row r="39">
      <c r="A39" t="str">
        <v>Project work pool hours</v>
      </c>
      <c r="B39" t="str">
        <v>projectPool</v>
      </c>
      <c r="C39" s="4">
        <f>C$35+C$36+C$37+C$38</f>
      </c>
      <c r="D39" s="4">
        <f>D$35+D$36+D$37+D$38</f>
      </c>
      <c r="E39" s="4">
        <f>E$35+E$36+E$37+E$38</f>
      </c>
      <c r="F39" s="4">
        <f>F$35+F$36+F$37+F$38</f>
      </c>
      <c r="G39" s="4">
        <f>G$35+G$36+G$37+G$38</f>
      </c>
      <c r="H39" s="4">
        <f>H$35+H$36+H$37+H$38</f>
      </c>
      <c r="I39" s="4">
        <f>I$35+I$36+I$37+I$38</f>
      </c>
      <c r="J39" s="4">
        <f>J$35+J$36+J$37+J$38</f>
      </c>
      <c r="K39" s="4">
        <f>K$35+K$36+K$37+K$38</f>
      </c>
      <c r="L39" s="4">
        <f>L$35+L$36+L$37+L$38</f>
      </c>
      <c r="M39" s="4">
        <f>M$35+M$36+M$37+M$38</f>
      </c>
      <c r="N39" s="4">
        <f>N$35+N$36+N$37+N$38</f>
      </c>
      <c r="O39" s="4">
        <f>O$35+O$36+O$37+O$38</f>
      </c>
      <c r="P39" s="4">
        <f>P$35+P$36+P$37+P$38</f>
      </c>
      <c r="Q39" s="4">
        <f>Q$35+Q$36+Q$37+Q$38</f>
      </c>
      <c r="R39" s="4">
        <f>R$35+R$36+R$37+R$38</f>
      </c>
      <c r="S39" s="4">
        <f>S$35+S$36+S$37+S$38</f>
      </c>
      <c r="T39" s="4">
        <f>T$35+T$36+T$37+T$38</f>
      </c>
      <c r="U39" s="4">
        <f>U$35+U$36+U$37+U$38</f>
      </c>
      <c r="V39" s="4">
        <f>V$35+V$36+V$37+V$38</f>
      </c>
      <c r="W39" s="4">
        <f>W$35+W$36+W$37+W$38</f>
      </c>
      <c r="X39" s="4">
        <f>X$35+X$36+X$37+X$38</f>
      </c>
      <c r="Y39" s="4">
        <f>Y$35+Y$36+Y$37+Y$38</f>
      </c>
      <c r="Z39" s="4">
        <f>Z$35+Z$36+Z$37+Z$38</f>
      </c>
      <c r="AA39" s="4">
        <f>AA$35+AA$36+AA$37+AA$38</f>
      </c>
      <c r="AB39" s="4">
        <f>AB$35+AB$36+AB$37+AB$38</f>
      </c>
      <c r="AC39" s="4">
        <f>AC$35+AC$36+AC$37+AC$38</f>
      </c>
      <c r="AD39" s="4">
        <f>AD$35+AD$36+AD$37+AD$38</f>
      </c>
      <c r="AE39" s="4">
        <f>AE$35+AE$36+AE$37+AE$38</f>
      </c>
      <c r="AF39" s="4">
        <f>AF$35+AF$36+AF$37+AF$38</f>
      </c>
      <c r="AG39" s="4">
        <f>AG$35+AG$36+AG$37+AG$38</f>
      </c>
      <c r="AH39" s="4">
        <f>AH$35+AH$36+AH$37+AH$38</f>
      </c>
      <c r="AI39" s="4">
        <f>AI$35+AI$36+AI$37+AI$38</f>
      </c>
      <c r="AJ39" s="4">
        <f>AJ$35+AJ$36+AJ$37+AJ$38</f>
      </c>
      <c r="AK39" s="4">
        <f>AK$35+AK$36+AK$37+AK$38</f>
      </c>
      <c r="AL39" s="4">
        <f>AL$35+AL$36+AL$37+AL$38</f>
      </c>
    </row>
    <row r="40">
      <c r="A40" t="str">
        <v>Internal bench hours</v>
      </c>
      <c r="B40" t="str">
        <v>benchHours</v>
      </c>
      <c r="C40" s="4">
        <f>IF(AND(C$2&gt;=Inputs!$B$21,C$16&gt;Inputs!$B$22),MIN(Inputs!$B$19,MAX(0,C$39-C$34)),0)</f>
      </c>
      <c r="D40" s="4">
        <f>IF(AND(D$2&gt;=Inputs!$B$21,D$16&gt;Inputs!$B$22),MIN(Inputs!$B$19,MAX(0,D$39-D$34)),0)</f>
      </c>
      <c r="E40" s="4">
        <f>IF(AND(E$2&gt;=Inputs!$B$21,E$16&gt;Inputs!$B$22),MIN(Inputs!$B$19,MAX(0,E$39-E$34)),0)</f>
      </c>
      <c r="F40" s="4">
        <f>IF(AND(F$2&gt;=Inputs!$B$21,F$16&gt;Inputs!$B$22),MIN(Inputs!$B$19,MAX(0,F$39-F$34)),0)</f>
      </c>
      <c r="G40" s="4">
        <f>IF(AND(G$2&gt;=Inputs!$B$21,G$16&gt;Inputs!$B$22),MIN(Inputs!$B$19,MAX(0,G$39-G$34)),0)</f>
      </c>
      <c r="H40" s="4">
        <f>IF(AND(H$2&gt;=Inputs!$B$21,H$16&gt;Inputs!$B$22),MIN(Inputs!$B$19,MAX(0,H$39-H$34)),0)</f>
      </c>
      <c r="I40" s="4">
        <f>IF(AND(I$2&gt;=Inputs!$B$21,I$16&gt;Inputs!$B$22),MIN(Inputs!$B$19,MAX(0,I$39-I$34)),0)</f>
      </c>
      <c r="J40" s="4">
        <f>IF(AND(J$2&gt;=Inputs!$B$21,J$16&gt;Inputs!$B$22),MIN(Inputs!$B$19,MAX(0,J$39-J$34)),0)</f>
      </c>
      <c r="K40" s="4">
        <f>IF(AND(K$2&gt;=Inputs!$B$21,K$16&gt;Inputs!$B$22),MIN(Inputs!$B$19,MAX(0,K$39-K$34)),0)</f>
      </c>
      <c r="L40" s="4">
        <f>IF(AND(L$2&gt;=Inputs!$B$21,L$16&gt;Inputs!$B$22),MIN(Inputs!$B$19,MAX(0,L$39-L$34)),0)</f>
      </c>
      <c r="M40" s="4">
        <f>IF(AND(M$2&gt;=Inputs!$B$21,M$16&gt;Inputs!$B$22),MIN(Inputs!$B$19,MAX(0,M$39-M$34)),0)</f>
      </c>
      <c r="N40" s="4">
        <f>IF(AND(N$2&gt;=Inputs!$B$21,N$16&gt;Inputs!$B$22),MIN(Inputs!$B$19,MAX(0,N$39-N$34)),0)</f>
      </c>
      <c r="O40" s="4">
        <f>IF(AND(O$2&gt;=Inputs!$B$21,O$16&gt;Inputs!$B$22),MIN(Inputs!$B$19,MAX(0,O$39-O$34)),0)</f>
      </c>
      <c r="P40" s="4">
        <f>IF(AND(P$2&gt;=Inputs!$B$21,P$16&gt;Inputs!$B$22),MIN(Inputs!$B$19,MAX(0,P$39-P$34)),0)</f>
      </c>
      <c r="Q40" s="4">
        <f>IF(AND(Q$2&gt;=Inputs!$B$21,Q$16&gt;Inputs!$B$22),MIN(Inputs!$B$19,MAX(0,Q$39-Q$34)),0)</f>
      </c>
      <c r="R40" s="4">
        <f>IF(AND(R$2&gt;=Inputs!$B$21,R$16&gt;Inputs!$B$22),MIN(Inputs!$B$19,MAX(0,R$39-R$34)),0)</f>
      </c>
      <c r="S40" s="4">
        <f>IF(AND(S$2&gt;=Inputs!$B$21,S$16&gt;Inputs!$B$22),MIN(Inputs!$B$19,MAX(0,S$39-S$34)),0)</f>
      </c>
      <c r="T40" s="4">
        <f>IF(AND(T$2&gt;=Inputs!$B$21,T$16&gt;Inputs!$B$22),MIN(Inputs!$B$19,MAX(0,T$39-T$34)),0)</f>
      </c>
      <c r="U40" s="4">
        <f>IF(AND(U$2&gt;=Inputs!$B$21,U$16&gt;Inputs!$B$22),MIN(Inputs!$B$19,MAX(0,U$39-U$34)),0)</f>
      </c>
      <c r="V40" s="4">
        <f>IF(AND(V$2&gt;=Inputs!$B$21,V$16&gt;Inputs!$B$22),MIN(Inputs!$B$19,MAX(0,V$39-V$34)),0)</f>
      </c>
      <c r="W40" s="4">
        <f>IF(AND(W$2&gt;=Inputs!$B$21,W$16&gt;Inputs!$B$22),MIN(Inputs!$B$19,MAX(0,W$39-W$34)),0)</f>
      </c>
      <c r="X40" s="4">
        <f>IF(AND(X$2&gt;=Inputs!$B$21,X$16&gt;Inputs!$B$22),MIN(Inputs!$B$19,MAX(0,X$39-X$34)),0)</f>
      </c>
      <c r="Y40" s="4">
        <f>IF(AND(Y$2&gt;=Inputs!$B$21,Y$16&gt;Inputs!$B$22),MIN(Inputs!$B$19,MAX(0,Y$39-Y$34)),0)</f>
      </c>
      <c r="Z40" s="4">
        <f>IF(AND(Z$2&gt;=Inputs!$B$21,Z$16&gt;Inputs!$B$22),MIN(Inputs!$B$19,MAX(0,Z$39-Z$34)),0)</f>
      </c>
      <c r="AA40" s="4">
        <f>IF(AND(AA$2&gt;=Inputs!$B$21,AA$16&gt;Inputs!$B$22),MIN(Inputs!$B$19,MAX(0,AA$39-AA$34)),0)</f>
      </c>
      <c r="AB40" s="4">
        <f>IF(AND(AB$2&gt;=Inputs!$B$21,AB$16&gt;Inputs!$B$22),MIN(Inputs!$B$19,MAX(0,AB$39-AB$34)),0)</f>
      </c>
      <c r="AC40" s="4">
        <f>IF(AND(AC$2&gt;=Inputs!$B$21,AC$16&gt;Inputs!$B$22),MIN(Inputs!$B$19,MAX(0,AC$39-AC$34)),0)</f>
      </c>
      <c r="AD40" s="4">
        <f>IF(AND(AD$2&gt;=Inputs!$B$21,AD$16&gt;Inputs!$B$22),MIN(Inputs!$B$19,MAX(0,AD$39-AD$34)),0)</f>
      </c>
      <c r="AE40" s="4">
        <f>IF(AND(AE$2&gt;=Inputs!$B$21,AE$16&gt;Inputs!$B$22),MIN(Inputs!$B$19,MAX(0,AE$39-AE$34)),0)</f>
      </c>
      <c r="AF40" s="4">
        <f>IF(AND(AF$2&gt;=Inputs!$B$21,AF$16&gt;Inputs!$B$22),MIN(Inputs!$B$19,MAX(0,AF$39-AF$34)),0)</f>
      </c>
      <c r="AG40" s="4">
        <f>IF(AND(AG$2&gt;=Inputs!$B$21,AG$16&gt;Inputs!$B$22),MIN(Inputs!$B$19,MAX(0,AG$39-AG$34)),0)</f>
      </c>
      <c r="AH40" s="4">
        <f>IF(AND(AH$2&gt;=Inputs!$B$21,AH$16&gt;Inputs!$B$22),MIN(Inputs!$B$19,MAX(0,AH$39-AH$34)),0)</f>
      </c>
      <c r="AI40" s="4">
        <f>IF(AND(AI$2&gt;=Inputs!$B$21,AI$16&gt;Inputs!$B$22),MIN(Inputs!$B$19,MAX(0,AI$39-AI$34)),0)</f>
      </c>
      <c r="AJ40" s="4">
        <f>IF(AND(AJ$2&gt;=Inputs!$B$21,AJ$16&gt;Inputs!$B$22),MIN(Inputs!$B$19,MAX(0,AJ$39-AJ$34)),0)</f>
      </c>
      <c r="AK40" s="4">
        <f>IF(AND(AK$2&gt;=Inputs!$B$21,AK$16&gt;Inputs!$B$22),MIN(Inputs!$B$19,MAX(0,AK$39-AK$34)),0)</f>
      </c>
      <c r="AL40" s="4">
        <f>IF(AND(AL$2&gt;=Inputs!$B$21,AL$16&gt;Inputs!$B$22),MIN(Inputs!$B$19,MAX(0,AL$39-AL$34)),0)</f>
      </c>
    </row>
    <row r="41">
      <c r="A41" t="str">
        <v>Project capacity (advisors + bench)</v>
      </c>
      <c r="B41" t="str">
        <v>projectCapacity</v>
      </c>
      <c r="C41" s="4">
        <f>C$34+C$40</f>
      </c>
      <c r="D41" s="4">
        <f>D$34+D$40</f>
      </c>
      <c r="E41" s="4">
        <f>E$34+E$40</f>
      </c>
      <c r="F41" s="4">
        <f>F$34+F$40</f>
      </c>
      <c r="G41" s="4">
        <f>G$34+G$40</f>
      </c>
      <c r="H41" s="4">
        <f>H$34+H$40</f>
      </c>
      <c r="I41" s="4">
        <f>I$34+I$40</f>
      </c>
      <c r="J41" s="4">
        <f>J$34+J$40</f>
      </c>
      <c r="K41" s="4">
        <f>K$34+K$40</f>
      </c>
      <c r="L41" s="4">
        <f>L$34+L$40</f>
      </c>
      <c r="M41" s="4">
        <f>M$34+M$40</f>
      </c>
      <c r="N41" s="4">
        <f>N$34+N$40</f>
      </c>
      <c r="O41" s="4">
        <f>O$34+O$40</f>
      </c>
      <c r="P41" s="4">
        <f>P$34+P$40</f>
      </c>
      <c r="Q41" s="4">
        <f>Q$34+Q$40</f>
      </c>
      <c r="R41" s="4">
        <f>R$34+R$40</f>
      </c>
      <c r="S41" s="4">
        <f>S$34+S$40</f>
      </c>
      <c r="T41" s="4">
        <f>T$34+T$40</f>
      </c>
      <c r="U41" s="4">
        <f>U$34+U$40</f>
      </c>
      <c r="V41" s="4">
        <f>V$34+V$40</f>
      </c>
      <c r="W41" s="4">
        <f>W$34+W$40</f>
      </c>
      <c r="X41" s="4">
        <f>X$34+X$40</f>
      </c>
      <c r="Y41" s="4">
        <f>Y$34+Y$40</f>
      </c>
      <c r="Z41" s="4">
        <f>Z$34+Z$40</f>
      </c>
      <c r="AA41" s="4">
        <f>AA$34+AA$40</f>
      </c>
      <c r="AB41" s="4">
        <f>AB$34+AB$40</f>
      </c>
      <c r="AC41" s="4">
        <f>AC$34+AC$40</f>
      </c>
      <c r="AD41" s="4">
        <f>AD$34+AD$40</f>
      </c>
      <c r="AE41" s="4">
        <f>AE$34+AE$40</f>
      </c>
      <c r="AF41" s="4">
        <f>AF$34+AF$40</f>
      </c>
      <c r="AG41" s="4">
        <f>AG$34+AG$40</f>
      </c>
      <c r="AH41" s="4">
        <f>AH$34+AH$40</f>
      </c>
      <c r="AI41" s="4">
        <f>AI$34+AI$40</f>
      </c>
      <c r="AJ41" s="4">
        <f>AJ$34+AJ$40</f>
      </c>
      <c r="AK41" s="4">
        <f>AK$34+AK$40</f>
      </c>
      <c r="AL41" s="4">
        <f>AL$34+AL$40</f>
      </c>
    </row>
    <row r="42">
      <c r="A42" t="str">
        <v>Fulfillment ratio</v>
      </c>
      <c r="B42" t="str">
        <v>fulfillment</v>
      </c>
      <c r="C42" s="3">
        <f>IF(C$39&gt;0.000000001,MIN(1,C$41/C$39),1)</f>
      </c>
      <c r="D42" s="3">
        <f>IF(D$39&gt;0.000000001,MIN(1,D$41/D$39),1)</f>
      </c>
      <c r="E42" s="3">
        <f>IF(E$39&gt;0.000000001,MIN(1,E$41/E$39),1)</f>
      </c>
      <c r="F42" s="3">
        <f>IF(F$39&gt;0.000000001,MIN(1,F$41/F$39),1)</f>
      </c>
      <c r="G42" s="3">
        <f>IF(G$39&gt;0.000000001,MIN(1,G$41/G$39),1)</f>
      </c>
      <c r="H42" s="3">
        <f>IF(H$39&gt;0.000000001,MIN(1,H$41/H$39),1)</f>
      </c>
      <c r="I42" s="3">
        <f>IF(I$39&gt;0.000000001,MIN(1,I$41/I$39),1)</f>
      </c>
      <c r="J42" s="3">
        <f>IF(J$39&gt;0.000000001,MIN(1,J$41/J$39),1)</f>
      </c>
      <c r="K42" s="3">
        <f>IF(K$39&gt;0.000000001,MIN(1,K$41/K$39),1)</f>
      </c>
      <c r="L42" s="3">
        <f>IF(L$39&gt;0.000000001,MIN(1,L$41/L$39),1)</f>
      </c>
      <c r="M42" s="3">
        <f>IF(M$39&gt;0.000000001,MIN(1,M$41/M$39),1)</f>
      </c>
      <c r="N42" s="3">
        <f>IF(N$39&gt;0.000000001,MIN(1,N$41/N$39),1)</f>
      </c>
      <c r="O42" s="3">
        <f>IF(O$39&gt;0.000000001,MIN(1,O$41/O$39),1)</f>
      </c>
      <c r="P42" s="3">
        <f>IF(P$39&gt;0.000000001,MIN(1,P$41/P$39),1)</f>
      </c>
      <c r="Q42" s="3">
        <f>IF(Q$39&gt;0.000000001,MIN(1,Q$41/Q$39),1)</f>
      </c>
      <c r="R42" s="3">
        <f>IF(R$39&gt;0.000000001,MIN(1,R$41/R$39),1)</f>
      </c>
      <c r="S42" s="3">
        <f>IF(S$39&gt;0.000000001,MIN(1,S$41/S$39),1)</f>
      </c>
      <c r="T42" s="3">
        <f>IF(T$39&gt;0.000000001,MIN(1,T$41/T$39),1)</f>
      </c>
      <c r="U42" s="3">
        <f>IF(U$39&gt;0.000000001,MIN(1,U$41/U$39),1)</f>
      </c>
      <c r="V42" s="3">
        <f>IF(V$39&gt;0.000000001,MIN(1,V$41/V$39),1)</f>
      </c>
      <c r="W42" s="3">
        <f>IF(W$39&gt;0.000000001,MIN(1,W$41/W$39),1)</f>
      </c>
      <c r="X42" s="3">
        <f>IF(X$39&gt;0.000000001,MIN(1,X$41/X$39),1)</f>
      </c>
      <c r="Y42" s="3">
        <f>IF(Y$39&gt;0.000000001,MIN(1,Y$41/Y$39),1)</f>
      </c>
      <c r="Z42" s="3">
        <f>IF(Z$39&gt;0.000000001,MIN(1,Z$41/Z$39),1)</f>
      </c>
      <c r="AA42" s="3">
        <f>IF(AA$39&gt;0.000000001,MIN(1,AA$41/AA$39),1)</f>
      </c>
      <c r="AB42" s="3">
        <f>IF(AB$39&gt;0.000000001,MIN(1,AB$41/AB$39),1)</f>
      </c>
      <c r="AC42" s="3">
        <f>IF(AC$39&gt;0.000000001,MIN(1,AC$41/AC$39),1)</f>
      </c>
      <c r="AD42" s="3">
        <f>IF(AD$39&gt;0.000000001,MIN(1,AD$41/AD$39),1)</f>
      </c>
      <c r="AE42" s="3">
        <f>IF(AE$39&gt;0.000000001,MIN(1,AE$41/AE$39),1)</f>
      </c>
      <c r="AF42" s="3">
        <f>IF(AF$39&gt;0.000000001,MIN(1,AF$41/AF$39),1)</f>
      </c>
      <c r="AG42" s="3">
        <f>IF(AG$39&gt;0.000000001,MIN(1,AG$41/AG$39),1)</f>
      </c>
      <c r="AH42" s="3">
        <f>IF(AH$39&gt;0.000000001,MIN(1,AH$41/AH$39),1)</f>
      </c>
      <c r="AI42" s="3">
        <f>IF(AI$39&gt;0.000000001,MIN(1,AI$41/AI$39),1)</f>
      </c>
      <c r="AJ42" s="3">
        <f>IF(AJ$39&gt;0.000000001,MIN(1,AJ$41/AJ$39),1)</f>
      </c>
      <c r="AK42" s="3">
        <f>IF(AK$39&gt;0.000000001,MIN(1,AK$41/AK$39),1)</f>
      </c>
      <c r="AL42" s="3">
        <f>IF(AL$39&gt;0.000000001,MIN(1,AL$41/AL$39),1)</f>
      </c>
    </row>
    <row r="43">
      <c r="A43" t="str">
        <v>Project hours delivered</v>
      </c>
      <c r="B43" t="str">
        <v>projectDelivered</v>
      </c>
      <c r="C43" s="4">
        <f>C$39*C$42</f>
      </c>
      <c r="D43" s="4">
        <f>D$39*D$42</f>
      </c>
      <c r="E43" s="4">
        <f>E$39*E$42</f>
      </c>
      <c r="F43" s="4">
        <f>F$39*F$42</f>
      </c>
      <c r="G43" s="4">
        <f>G$39*G$42</f>
      </c>
      <c r="H43" s="4">
        <f>H$39*H$42</f>
      </c>
      <c r="I43" s="4">
        <f>I$39*I$42</f>
      </c>
      <c r="J43" s="4">
        <f>J$39*J$42</f>
      </c>
      <c r="K43" s="4">
        <f>K$39*K$42</f>
      </c>
      <c r="L43" s="4">
        <f>L$39*L$42</f>
      </c>
      <c r="M43" s="4">
        <f>M$39*M$42</f>
      </c>
      <c r="N43" s="4">
        <f>N$39*N$42</f>
      </c>
      <c r="O43" s="4">
        <f>O$39*O$42</f>
      </c>
      <c r="P43" s="4">
        <f>P$39*P$42</f>
      </c>
      <c r="Q43" s="4">
        <f>Q$39*Q$42</f>
      </c>
      <c r="R43" s="4">
        <f>R$39*R$42</f>
      </c>
      <c r="S43" s="4">
        <f>S$39*S$42</f>
      </c>
      <c r="T43" s="4">
        <f>T$39*T$42</f>
      </c>
      <c r="U43" s="4">
        <f>U$39*U$42</f>
      </c>
      <c r="V43" s="4">
        <f>V$39*V$42</f>
      </c>
      <c r="W43" s="4">
        <f>W$39*W$42</f>
      </c>
      <c r="X43" s="4">
        <f>X$39*X$42</f>
      </c>
      <c r="Y43" s="4">
        <f>Y$39*Y$42</f>
      </c>
      <c r="Z43" s="4">
        <f>Z$39*Z$42</f>
      </c>
      <c r="AA43" s="4">
        <f>AA$39*AA$42</f>
      </c>
      <c r="AB43" s="4">
        <f>AB$39*AB$42</f>
      </c>
      <c r="AC43" s="4">
        <f>AC$39*AC$42</f>
      </c>
      <c r="AD43" s="4">
        <f>AD$39*AD$42</f>
      </c>
      <c r="AE43" s="4">
        <f>AE$39*AE$42</f>
      </c>
      <c r="AF43" s="4">
        <f>AF$39*AF$42</f>
      </c>
      <c r="AG43" s="4">
        <f>AG$39*AG$42</f>
      </c>
      <c r="AH43" s="4">
        <f>AH$39*AH$42</f>
      </c>
      <c r="AI43" s="4">
        <f>AI$39*AI$42</f>
      </c>
      <c r="AJ43" s="4">
        <f>AJ$39*AJ$42</f>
      </c>
      <c r="AK43" s="4">
        <f>AK$39*AK$42</f>
      </c>
      <c r="AL43" s="4">
        <f>AL$39*AL$42</f>
      </c>
    </row>
    <row r="44">
      <c r="A44" t="str">
        <v>Delivered hours: Assessment</v>
      </c>
      <c r="B44" t="str">
        <v>del_assessment</v>
      </c>
      <c r="C44" s="4">
        <f>C$35*C$42</f>
      </c>
      <c r="D44" s="4">
        <f>D$35*D$42</f>
      </c>
      <c r="E44" s="4">
        <f>E$35*E$42</f>
      </c>
      <c r="F44" s="4">
        <f>F$35*F$42</f>
      </c>
      <c r="G44" s="4">
        <f>G$35*G$42</f>
      </c>
      <c r="H44" s="4">
        <f>H$35*H$42</f>
      </c>
      <c r="I44" s="4">
        <f>I$35*I$42</f>
      </c>
      <c r="J44" s="4">
        <f>J$35*J$42</f>
      </c>
      <c r="K44" s="4">
        <f>K$35*K$42</f>
      </c>
      <c r="L44" s="4">
        <f>L$35*L$42</f>
      </c>
      <c r="M44" s="4">
        <f>M$35*M$42</f>
      </c>
      <c r="N44" s="4">
        <f>N$35*N$42</f>
      </c>
      <c r="O44" s="4">
        <f>O$35*O$42</f>
      </c>
      <c r="P44" s="4">
        <f>P$35*P$42</f>
      </c>
      <c r="Q44" s="4">
        <f>Q$35*Q$42</f>
      </c>
      <c r="R44" s="4">
        <f>R$35*R$42</f>
      </c>
      <c r="S44" s="4">
        <f>S$35*S$42</f>
      </c>
      <c r="T44" s="4">
        <f>T$35*T$42</f>
      </c>
      <c r="U44" s="4">
        <f>U$35*U$42</f>
      </c>
      <c r="V44" s="4">
        <f>V$35*V$42</f>
      </c>
      <c r="W44" s="4">
        <f>W$35*W$42</f>
      </c>
      <c r="X44" s="4">
        <f>X$35*X$42</f>
      </c>
      <c r="Y44" s="4">
        <f>Y$35*Y$42</f>
      </c>
      <c r="Z44" s="4">
        <f>Z$35*Z$42</f>
      </c>
      <c r="AA44" s="4">
        <f>AA$35*AA$42</f>
      </c>
      <c r="AB44" s="4">
        <f>AB$35*AB$42</f>
      </c>
      <c r="AC44" s="4">
        <f>AC$35*AC$42</f>
      </c>
      <c r="AD44" s="4">
        <f>AD$35*AD$42</f>
      </c>
      <c r="AE44" s="4">
        <f>AE$35*AE$42</f>
      </c>
      <c r="AF44" s="4">
        <f>AF$35*AF$42</f>
      </c>
      <c r="AG44" s="4">
        <f>AG$35*AG$42</f>
      </c>
      <c r="AH44" s="4">
        <f>AH$35*AH$42</f>
      </c>
      <c r="AI44" s="4">
        <f>AI$35*AI$42</f>
      </c>
      <c r="AJ44" s="4">
        <f>AJ$35*AJ$42</f>
      </c>
      <c r="AK44" s="4">
        <f>AK$35*AK$42</f>
      </c>
      <c r="AL44" s="4">
        <f>AL$35*AL$42</f>
      </c>
    </row>
    <row r="45">
      <c r="A45" t="str">
        <v>Delivered hours: Sprint</v>
      </c>
      <c r="B45" t="str">
        <v>del_sprint</v>
      </c>
      <c r="C45" s="4">
        <f>C$36*C$42</f>
      </c>
      <c r="D45" s="4">
        <f>D$36*D$42</f>
      </c>
      <c r="E45" s="4">
        <f>E$36*E$42</f>
      </c>
      <c r="F45" s="4">
        <f>F$36*F$42</f>
      </c>
      <c r="G45" s="4">
        <f>G$36*G$42</f>
      </c>
      <c r="H45" s="4">
        <f>H$36*H$42</f>
      </c>
      <c r="I45" s="4">
        <f>I$36*I$42</f>
      </c>
      <c r="J45" s="4">
        <f>J$36*J$42</f>
      </c>
      <c r="K45" s="4">
        <f>K$36*K$42</f>
      </c>
      <c r="L45" s="4">
        <f>L$36*L$42</f>
      </c>
      <c r="M45" s="4">
        <f>M$36*M$42</f>
      </c>
      <c r="N45" s="4">
        <f>N$36*N$42</f>
      </c>
      <c r="O45" s="4">
        <f>O$36*O$42</f>
      </c>
      <c r="P45" s="4">
        <f>P$36*P$42</f>
      </c>
      <c r="Q45" s="4">
        <f>Q$36*Q$42</f>
      </c>
      <c r="R45" s="4">
        <f>R$36*R$42</f>
      </c>
      <c r="S45" s="4">
        <f>S$36*S$42</f>
      </c>
      <c r="T45" s="4">
        <f>T$36*T$42</f>
      </c>
      <c r="U45" s="4">
        <f>U$36*U$42</f>
      </c>
      <c r="V45" s="4">
        <f>V$36*V$42</f>
      </c>
      <c r="W45" s="4">
        <f>W$36*W$42</f>
      </c>
      <c r="X45" s="4">
        <f>X$36*X$42</f>
      </c>
      <c r="Y45" s="4">
        <f>Y$36*Y$42</f>
      </c>
      <c r="Z45" s="4">
        <f>Z$36*Z$42</f>
      </c>
      <c r="AA45" s="4">
        <f>AA$36*AA$42</f>
      </c>
      <c r="AB45" s="4">
        <f>AB$36*AB$42</f>
      </c>
      <c r="AC45" s="4">
        <f>AC$36*AC$42</f>
      </c>
      <c r="AD45" s="4">
        <f>AD$36*AD$42</f>
      </c>
      <c r="AE45" s="4">
        <f>AE$36*AE$42</f>
      </c>
      <c r="AF45" s="4">
        <f>AF$36*AF$42</f>
      </c>
      <c r="AG45" s="4">
        <f>AG$36*AG$42</f>
      </c>
      <c r="AH45" s="4">
        <f>AH$36*AH$42</f>
      </c>
      <c r="AI45" s="4">
        <f>AI$36*AI$42</f>
      </c>
      <c r="AJ45" s="4">
        <f>AJ$36*AJ$42</f>
      </c>
      <c r="AK45" s="4">
        <f>AK$36*AK$42</f>
      </c>
      <c r="AL45" s="4">
        <f>AL$36*AL$42</f>
      </c>
    </row>
    <row r="46">
      <c r="A46" t="str">
        <v>Delivered hours: Retainer</v>
      </c>
      <c r="B46" t="str">
        <v>del_retainer</v>
      </c>
      <c r="C46" s="4">
        <f>C$37*C$42</f>
      </c>
      <c r="D46" s="4">
        <f>D$37*D$42</f>
      </c>
      <c r="E46" s="4">
        <f>E$37*E$42</f>
      </c>
      <c r="F46" s="4">
        <f>F$37*F$42</f>
      </c>
      <c r="G46" s="4">
        <f>G$37*G$42</f>
      </c>
      <c r="H46" s="4">
        <f>H$37*H$42</f>
      </c>
      <c r="I46" s="4">
        <f>I$37*I$42</f>
      </c>
      <c r="J46" s="4">
        <f>J$37*J$42</f>
      </c>
      <c r="K46" s="4">
        <f>K$37*K$42</f>
      </c>
      <c r="L46" s="4">
        <f>L$37*L$42</f>
      </c>
      <c r="M46" s="4">
        <f>M$37*M$42</f>
      </c>
      <c r="N46" s="4">
        <f>N$37*N$42</f>
      </c>
      <c r="O46" s="4">
        <f>O$37*O$42</f>
      </c>
      <c r="P46" s="4">
        <f>P$37*P$42</f>
      </c>
      <c r="Q46" s="4">
        <f>Q$37*Q$42</f>
      </c>
      <c r="R46" s="4">
        <f>R$37*R$42</f>
      </c>
      <c r="S46" s="4">
        <f>S$37*S$42</f>
      </c>
      <c r="T46" s="4">
        <f>T$37*T$42</f>
      </c>
      <c r="U46" s="4">
        <f>U$37*U$42</f>
      </c>
      <c r="V46" s="4">
        <f>V$37*V$42</f>
      </c>
      <c r="W46" s="4">
        <f>W$37*W$42</f>
      </c>
      <c r="X46" s="4">
        <f>X$37*X$42</f>
      </c>
      <c r="Y46" s="4">
        <f>Y$37*Y$42</f>
      </c>
      <c r="Z46" s="4">
        <f>Z$37*Z$42</f>
      </c>
      <c r="AA46" s="4">
        <f>AA$37*AA$42</f>
      </c>
      <c r="AB46" s="4">
        <f>AB$37*AB$42</f>
      </c>
      <c r="AC46" s="4">
        <f>AC$37*AC$42</f>
      </c>
      <c r="AD46" s="4">
        <f>AD$37*AD$42</f>
      </c>
      <c r="AE46" s="4">
        <f>AE$37*AE$42</f>
      </c>
      <c r="AF46" s="4">
        <f>AF$37*AF$42</f>
      </c>
      <c r="AG46" s="4">
        <f>AG$37*AG$42</f>
      </c>
      <c r="AH46" s="4">
        <f>AH$37*AH$42</f>
      </c>
      <c r="AI46" s="4">
        <f>AI$37*AI$42</f>
      </c>
      <c r="AJ46" s="4">
        <f>AJ$37*AJ$42</f>
      </c>
      <c r="AK46" s="4">
        <f>AK$37*AK$42</f>
      </c>
      <c r="AL46" s="4">
        <f>AL$37*AL$42</f>
      </c>
    </row>
    <row r="47">
      <c r="A47" t="str">
        <v>Delivered hours: Board readout</v>
      </c>
      <c r="B47" t="str">
        <v>del_board</v>
      </c>
      <c r="C47" s="4">
        <f>C$38*C$42</f>
      </c>
      <c r="D47" s="4">
        <f>D$38*D$42</f>
      </c>
      <c r="E47" s="4">
        <f>E$38*E$42</f>
      </c>
      <c r="F47" s="4">
        <f>F$38*F$42</f>
      </c>
      <c r="G47" s="4">
        <f>G$38*G$42</f>
      </c>
      <c r="H47" s="4">
        <f>H$38*H$42</f>
      </c>
      <c r="I47" s="4">
        <f>I$38*I$42</f>
      </c>
      <c r="J47" s="4">
        <f>J$38*J$42</f>
      </c>
      <c r="K47" s="4">
        <f>K$38*K$42</f>
      </c>
      <c r="L47" s="4">
        <f>L$38*L$42</f>
      </c>
      <c r="M47" s="4">
        <f>M$38*M$42</f>
      </c>
      <c r="N47" s="4">
        <f>N$38*N$42</f>
      </c>
      <c r="O47" s="4">
        <f>O$38*O$42</f>
      </c>
      <c r="P47" s="4">
        <f>P$38*P$42</f>
      </c>
      <c r="Q47" s="4">
        <f>Q$38*Q$42</f>
      </c>
      <c r="R47" s="4">
        <f>R$38*R$42</f>
      </c>
      <c r="S47" s="4">
        <f>S$38*S$42</f>
      </c>
      <c r="T47" s="4">
        <f>T$38*T$42</f>
      </c>
      <c r="U47" s="4">
        <f>U$38*U$42</f>
      </c>
      <c r="V47" s="4">
        <f>V$38*V$42</f>
      </c>
      <c r="W47" s="4">
        <f>W$38*W$42</f>
      </c>
      <c r="X47" s="4">
        <f>X$38*X$42</f>
      </c>
      <c r="Y47" s="4">
        <f>Y$38*Y$42</f>
      </c>
      <c r="Z47" s="4">
        <f>Z$38*Z$42</f>
      </c>
      <c r="AA47" s="4">
        <f>AA$38*AA$42</f>
      </c>
      <c r="AB47" s="4">
        <f>AB$38*AB$42</f>
      </c>
      <c r="AC47" s="4">
        <f>AC$38*AC$42</f>
      </c>
      <c r="AD47" s="4">
        <f>AD$38*AD$42</f>
      </c>
      <c r="AE47" s="4">
        <f>AE$38*AE$42</f>
      </c>
      <c r="AF47" s="4">
        <f>AF$38*AF$42</f>
      </c>
      <c r="AG47" s="4">
        <f>AG$38*AG$42</f>
      </c>
      <c r="AH47" s="4">
        <f>AH$38*AH$42</f>
      </c>
      <c r="AI47" s="4">
        <f>AI$38*AI$42</f>
      </c>
      <c r="AJ47" s="4">
        <f>AJ$38*AJ$42</f>
      </c>
      <c r="AK47" s="4">
        <f>AK$38*AK$42</f>
      </c>
      <c r="AL47" s="4">
        <f>AL$38*AL$42</f>
      </c>
    </row>
    <row r="48">
      <c r="A48" t="str">
        <v>Backlog hours: Assessment</v>
      </c>
      <c r="B48" t="str">
        <v>bl_assessment</v>
      </c>
      <c r="C48" s="4">
        <f>C$35-C$44</f>
      </c>
      <c r="D48" s="4">
        <f>D$35-D$44</f>
      </c>
      <c r="E48" s="4">
        <f>E$35-E$44</f>
      </c>
      <c r="F48" s="4">
        <f>F$35-F$44</f>
      </c>
      <c r="G48" s="4">
        <f>G$35-G$44</f>
      </c>
      <c r="H48" s="4">
        <f>H$35-H$44</f>
      </c>
      <c r="I48" s="4">
        <f>I$35-I$44</f>
      </c>
      <c r="J48" s="4">
        <f>J$35-J$44</f>
      </c>
      <c r="K48" s="4">
        <f>K$35-K$44</f>
      </c>
      <c r="L48" s="4">
        <f>L$35-L$44</f>
      </c>
      <c r="M48" s="4">
        <f>M$35-M$44</f>
      </c>
      <c r="N48" s="4">
        <f>N$35-N$44</f>
      </c>
      <c r="O48" s="4">
        <f>O$35-O$44</f>
      </c>
      <c r="P48" s="4">
        <f>P$35-P$44</f>
      </c>
      <c r="Q48" s="4">
        <f>Q$35-Q$44</f>
      </c>
      <c r="R48" s="4">
        <f>R$35-R$44</f>
      </c>
      <c r="S48" s="4">
        <f>S$35-S$44</f>
      </c>
      <c r="T48" s="4">
        <f>T$35-T$44</f>
      </c>
      <c r="U48" s="4">
        <f>U$35-U$44</f>
      </c>
      <c r="V48" s="4">
        <f>V$35-V$44</f>
      </c>
      <c r="W48" s="4">
        <f>W$35-W$44</f>
      </c>
      <c r="X48" s="4">
        <f>X$35-X$44</f>
      </c>
      <c r="Y48" s="4">
        <f>Y$35-Y$44</f>
      </c>
      <c r="Z48" s="4">
        <f>Z$35-Z$44</f>
      </c>
      <c r="AA48" s="4">
        <f>AA$35-AA$44</f>
      </c>
      <c r="AB48" s="4">
        <f>AB$35-AB$44</f>
      </c>
      <c r="AC48" s="4">
        <f>AC$35-AC$44</f>
      </c>
      <c r="AD48" s="4">
        <f>AD$35-AD$44</f>
      </c>
      <c r="AE48" s="4">
        <f>AE$35-AE$44</f>
      </c>
      <c r="AF48" s="4">
        <f>AF$35-AF$44</f>
      </c>
      <c r="AG48" s="4">
        <f>AG$35-AG$44</f>
      </c>
      <c r="AH48" s="4">
        <f>AH$35-AH$44</f>
      </c>
      <c r="AI48" s="4">
        <f>AI$35-AI$44</f>
      </c>
      <c r="AJ48" s="4">
        <f>AJ$35-AJ$44</f>
      </c>
      <c r="AK48" s="4">
        <f>AK$35-AK$44</f>
      </c>
      <c r="AL48" s="4">
        <f>AL$35-AL$44</f>
      </c>
    </row>
    <row r="49">
      <c r="A49" t="str">
        <v>Backlog hours: Sprint</v>
      </c>
      <c r="B49" t="str">
        <v>bl_sprint</v>
      </c>
      <c r="C49" s="4">
        <f>C$36-C$45</f>
      </c>
      <c r="D49" s="4">
        <f>D$36-D$45</f>
      </c>
      <c r="E49" s="4">
        <f>E$36-E$45</f>
      </c>
      <c r="F49" s="4">
        <f>F$36-F$45</f>
      </c>
      <c r="G49" s="4">
        <f>G$36-G$45</f>
      </c>
      <c r="H49" s="4">
        <f>H$36-H$45</f>
      </c>
      <c r="I49" s="4">
        <f>I$36-I$45</f>
      </c>
      <c r="J49" s="4">
        <f>J$36-J$45</f>
      </c>
      <c r="K49" s="4">
        <f>K$36-K$45</f>
      </c>
      <c r="L49" s="4">
        <f>L$36-L$45</f>
      </c>
      <c r="M49" s="4">
        <f>M$36-M$45</f>
      </c>
      <c r="N49" s="4">
        <f>N$36-N$45</f>
      </c>
      <c r="O49" s="4">
        <f>O$36-O$45</f>
      </c>
      <c r="P49" s="4">
        <f>P$36-P$45</f>
      </c>
      <c r="Q49" s="4">
        <f>Q$36-Q$45</f>
      </c>
      <c r="R49" s="4">
        <f>R$36-R$45</f>
      </c>
      <c r="S49" s="4">
        <f>S$36-S$45</f>
      </c>
      <c r="T49" s="4">
        <f>T$36-T$45</f>
      </c>
      <c r="U49" s="4">
        <f>U$36-U$45</f>
      </c>
      <c r="V49" s="4">
        <f>V$36-V$45</f>
      </c>
      <c r="W49" s="4">
        <f>W$36-W$45</f>
      </c>
      <c r="X49" s="4">
        <f>X$36-X$45</f>
      </c>
      <c r="Y49" s="4">
        <f>Y$36-Y$45</f>
      </c>
      <c r="Z49" s="4">
        <f>Z$36-Z$45</f>
      </c>
      <c r="AA49" s="4">
        <f>AA$36-AA$45</f>
      </c>
      <c r="AB49" s="4">
        <f>AB$36-AB$45</f>
      </c>
      <c r="AC49" s="4">
        <f>AC$36-AC$45</f>
      </c>
      <c r="AD49" s="4">
        <f>AD$36-AD$45</f>
      </c>
      <c r="AE49" s="4">
        <f>AE$36-AE$45</f>
      </c>
      <c r="AF49" s="4">
        <f>AF$36-AF$45</f>
      </c>
      <c r="AG49" s="4">
        <f>AG$36-AG$45</f>
      </c>
      <c r="AH49" s="4">
        <f>AH$36-AH$45</f>
      </c>
      <c r="AI49" s="4">
        <f>AI$36-AI$45</f>
      </c>
      <c r="AJ49" s="4">
        <f>AJ$36-AJ$45</f>
      </c>
      <c r="AK49" s="4">
        <f>AK$36-AK$45</f>
      </c>
      <c r="AL49" s="4">
        <f>AL$36-AL$45</f>
      </c>
    </row>
    <row r="50">
      <c r="A50" t="str">
        <v>Backlog hours: Retainer</v>
      </c>
      <c r="B50" t="str">
        <v>bl_retainer</v>
      </c>
      <c r="C50" s="4">
        <f>C$37-C$46</f>
      </c>
      <c r="D50" s="4">
        <f>D$37-D$46</f>
      </c>
      <c r="E50" s="4">
        <f>E$37-E$46</f>
      </c>
      <c r="F50" s="4">
        <f>F$37-F$46</f>
      </c>
      <c r="G50" s="4">
        <f>G$37-G$46</f>
      </c>
      <c r="H50" s="4">
        <f>H$37-H$46</f>
      </c>
      <c r="I50" s="4">
        <f>I$37-I$46</f>
      </c>
      <c r="J50" s="4">
        <f>J$37-J$46</f>
      </c>
      <c r="K50" s="4">
        <f>K$37-K$46</f>
      </c>
      <c r="L50" s="4">
        <f>L$37-L$46</f>
      </c>
      <c r="M50" s="4">
        <f>M$37-M$46</f>
      </c>
      <c r="N50" s="4">
        <f>N$37-N$46</f>
      </c>
      <c r="O50" s="4">
        <f>O$37-O$46</f>
      </c>
      <c r="P50" s="4">
        <f>P$37-P$46</f>
      </c>
      <c r="Q50" s="4">
        <f>Q$37-Q$46</f>
      </c>
      <c r="R50" s="4">
        <f>R$37-R$46</f>
      </c>
      <c r="S50" s="4">
        <f>S$37-S$46</f>
      </c>
      <c r="T50" s="4">
        <f>T$37-T$46</f>
      </c>
      <c r="U50" s="4">
        <f>U$37-U$46</f>
      </c>
      <c r="V50" s="4">
        <f>V$37-V$46</f>
      </c>
      <c r="W50" s="4">
        <f>W$37-W$46</f>
      </c>
      <c r="X50" s="4">
        <f>X$37-X$46</f>
      </c>
      <c r="Y50" s="4">
        <f>Y$37-Y$46</f>
      </c>
      <c r="Z50" s="4">
        <f>Z$37-Z$46</f>
      </c>
      <c r="AA50" s="4">
        <f>AA$37-AA$46</f>
      </c>
      <c r="AB50" s="4">
        <f>AB$37-AB$46</f>
      </c>
      <c r="AC50" s="4">
        <f>AC$37-AC$46</f>
      </c>
      <c r="AD50" s="4">
        <f>AD$37-AD$46</f>
      </c>
      <c r="AE50" s="4">
        <f>AE$37-AE$46</f>
      </c>
      <c r="AF50" s="4">
        <f>AF$37-AF$46</f>
      </c>
      <c r="AG50" s="4">
        <f>AG$37-AG$46</f>
      </c>
      <c r="AH50" s="4">
        <f>AH$37-AH$46</f>
      </c>
      <c r="AI50" s="4">
        <f>AI$37-AI$46</f>
      </c>
      <c r="AJ50" s="4">
        <f>AJ$37-AJ$46</f>
      </c>
      <c r="AK50" s="4">
        <f>AK$37-AK$46</f>
      </c>
      <c r="AL50" s="4">
        <f>AL$37-AL$46</f>
      </c>
    </row>
    <row r="51">
      <c r="A51" t="str">
        <v>Backlog hours: Board readout</v>
      </c>
      <c r="B51" t="str">
        <v>bl_board</v>
      </c>
      <c r="C51" s="4">
        <f>C$38-C$47</f>
      </c>
      <c r="D51" s="4">
        <f>D$38-D$47</f>
      </c>
      <c r="E51" s="4">
        <f>E$38-E$47</f>
      </c>
      <c r="F51" s="4">
        <f>F$38-F$47</f>
      </c>
      <c r="G51" s="4">
        <f>G$38-G$47</f>
      </c>
      <c r="H51" s="4">
        <f>H$38-H$47</f>
      </c>
      <c r="I51" s="4">
        <f>I$38-I$47</f>
      </c>
      <c r="J51" s="4">
        <f>J$38-J$47</f>
      </c>
      <c r="K51" s="4">
        <f>K$38-K$47</f>
      </c>
      <c r="L51" s="4">
        <f>L$38-L$47</f>
      </c>
      <c r="M51" s="4">
        <f>M$38-M$47</f>
      </c>
      <c r="N51" s="4">
        <f>N$38-N$47</f>
      </c>
      <c r="O51" s="4">
        <f>O$38-O$47</f>
      </c>
      <c r="P51" s="4">
        <f>P$38-P$47</f>
      </c>
      <c r="Q51" s="4">
        <f>Q$38-Q$47</f>
      </c>
      <c r="R51" s="4">
        <f>R$38-R$47</f>
      </c>
      <c r="S51" s="4">
        <f>S$38-S$47</f>
      </c>
      <c r="T51" s="4">
        <f>T$38-T$47</f>
      </c>
      <c r="U51" s="4">
        <f>U$38-U$47</f>
      </c>
      <c r="V51" s="4">
        <f>V$38-V$47</f>
      </c>
      <c r="W51" s="4">
        <f>W$38-W$47</f>
      </c>
      <c r="X51" s="4">
        <f>X$38-X$47</f>
      </c>
      <c r="Y51" s="4">
        <f>Y$38-Y$47</f>
      </c>
      <c r="Z51" s="4">
        <f>Z$38-Z$47</f>
      </c>
      <c r="AA51" s="4">
        <f>AA$38-AA$47</f>
      </c>
      <c r="AB51" s="4">
        <f>AB$38-AB$47</f>
      </c>
      <c r="AC51" s="4">
        <f>AC$38-AC$47</f>
      </c>
      <c r="AD51" s="4">
        <f>AD$38-AD$47</f>
      </c>
      <c r="AE51" s="4">
        <f>AE$38-AE$47</f>
      </c>
      <c r="AF51" s="4">
        <f>AF$38-AF$47</f>
      </c>
      <c r="AG51" s="4">
        <f>AG$38-AG$47</f>
      </c>
      <c r="AH51" s="4">
        <f>AH$38-AH$47</f>
      </c>
      <c r="AI51" s="4">
        <f>AI$38-AI$47</f>
      </c>
      <c r="AJ51" s="4">
        <f>AJ$38-AJ$47</f>
      </c>
      <c r="AK51" s="4">
        <f>AK$38-AK$47</f>
      </c>
      <c r="AL51" s="4">
        <f>AL$38-AL$47</f>
      </c>
    </row>
    <row r="52">
      <c r="A52" t="str">
        <v>Total backlog hours</v>
      </c>
      <c r="B52" t="str">
        <v>backlogHours</v>
      </c>
      <c r="C52" s="4">
        <f>C$48+C$49+C$50+C$51</f>
      </c>
      <c r="D52" s="4">
        <f>D$48+D$49+D$50+D$51</f>
      </c>
      <c r="E52" s="4">
        <f>E$48+E$49+E$50+E$51</f>
      </c>
      <c r="F52" s="4">
        <f>F$48+F$49+F$50+F$51</f>
      </c>
      <c r="G52" s="4">
        <f>G$48+G$49+G$50+G$51</f>
      </c>
      <c r="H52" s="4">
        <f>H$48+H$49+H$50+H$51</f>
      </c>
      <c r="I52" s="4">
        <f>I$48+I$49+I$50+I$51</f>
      </c>
      <c r="J52" s="4">
        <f>J$48+J$49+J$50+J$51</f>
      </c>
      <c r="K52" s="4">
        <f>K$48+K$49+K$50+K$51</f>
      </c>
      <c r="L52" s="4">
        <f>L$48+L$49+L$50+L$51</f>
      </c>
      <c r="M52" s="4">
        <f>M$48+M$49+M$50+M$51</f>
      </c>
      <c r="N52" s="4">
        <f>N$48+N$49+N$50+N$51</f>
      </c>
      <c r="O52" s="4">
        <f>O$48+O$49+O$50+O$51</f>
      </c>
      <c r="P52" s="4">
        <f>P$48+P$49+P$50+P$51</f>
      </c>
      <c r="Q52" s="4">
        <f>Q$48+Q$49+Q$50+Q$51</f>
      </c>
      <c r="R52" s="4">
        <f>R$48+R$49+R$50+R$51</f>
      </c>
      <c r="S52" s="4">
        <f>S$48+S$49+S$50+S$51</f>
      </c>
      <c r="T52" s="4">
        <f>T$48+T$49+T$50+T$51</f>
      </c>
      <c r="U52" s="4">
        <f>U$48+U$49+U$50+U$51</f>
      </c>
      <c r="V52" s="4">
        <f>V$48+V$49+V$50+V$51</f>
      </c>
      <c r="W52" s="4">
        <f>W$48+W$49+W$50+W$51</f>
      </c>
      <c r="X52" s="4">
        <f>X$48+X$49+X$50+X$51</f>
      </c>
      <c r="Y52" s="4">
        <f>Y$48+Y$49+Y$50+Y$51</f>
      </c>
      <c r="Z52" s="4">
        <f>Z$48+Z$49+Z$50+Z$51</f>
      </c>
      <c r="AA52" s="4">
        <f>AA$48+AA$49+AA$50+AA$51</f>
      </c>
      <c r="AB52" s="4">
        <f>AB$48+AB$49+AB$50+AB$51</f>
      </c>
      <c r="AC52" s="4">
        <f>AC$48+AC$49+AC$50+AC$51</f>
      </c>
      <c r="AD52" s="4">
        <f>AD$48+AD$49+AD$50+AD$51</f>
      </c>
      <c r="AE52" s="4">
        <f>AE$48+AE$49+AE$50+AE$51</f>
      </c>
      <c r="AF52" s="4">
        <f>AF$48+AF$49+AF$50+AF$51</f>
      </c>
      <c r="AG52" s="4">
        <f>AG$48+AG$49+AG$50+AG$51</f>
      </c>
      <c r="AH52" s="4">
        <f>AH$48+AH$49+AH$50+AH$51</f>
      </c>
      <c r="AI52" s="4">
        <f>AI$48+AI$49+AI$50+AI$51</f>
      </c>
      <c r="AJ52" s="4">
        <f>AJ$48+AJ$49+AJ$50+AJ$51</f>
      </c>
      <c r="AK52" s="4">
        <f>AK$48+AK$49+AK$50+AK$51</f>
      </c>
      <c r="AL52" s="4">
        <f>AL$48+AL$49+AL$50+AL$51</f>
      </c>
    </row>
    <row r="53">
      <c r="A53" t="str">
        <v>Backlog (weeks of advisor capacity)</v>
      </c>
      <c r="B53" t="str">
        <v>backlogWeeks</v>
      </c>
      <c r="C53" s="4">
        <f>IF(C$14&gt;0.000000001,C$52/(C$14*12/52),0)</f>
      </c>
      <c r="D53" s="4">
        <f>IF(D$14&gt;0.000000001,D$52/(D$14*12/52),0)</f>
      </c>
      <c r="E53" s="4">
        <f>IF(E$14&gt;0.000000001,E$52/(E$14*12/52),0)</f>
      </c>
      <c r="F53" s="4">
        <f>IF(F$14&gt;0.000000001,F$52/(F$14*12/52),0)</f>
      </c>
      <c r="G53" s="4">
        <f>IF(G$14&gt;0.000000001,G$52/(G$14*12/52),0)</f>
      </c>
      <c r="H53" s="4">
        <f>IF(H$14&gt;0.000000001,H$52/(H$14*12/52),0)</f>
      </c>
      <c r="I53" s="4">
        <f>IF(I$14&gt;0.000000001,I$52/(I$14*12/52),0)</f>
      </c>
      <c r="J53" s="4">
        <f>IF(J$14&gt;0.000000001,J$52/(J$14*12/52),0)</f>
      </c>
      <c r="K53" s="4">
        <f>IF(K$14&gt;0.000000001,K$52/(K$14*12/52),0)</f>
      </c>
      <c r="L53" s="4">
        <f>IF(L$14&gt;0.000000001,L$52/(L$14*12/52),0)</f>
      </c>
      <c r="M53" s="4">
        <f>IF(M$14&gt;0.000000001,M$52/(M$14*12/52),0)</f>
      </c>
      <c r="N53" s="4">
        <f>IF(N$14&gt;0.000000001,N$52/(N$14*12/52),0)</f>
      </c>
      <c r="O53" s="4">
        <f>IF(O$14&gt;0.000000001,O$52/(O$14*12/52),0)</f>
      </c>
      <c r="P53" s="4">
        <f>IF(P$14&gt;0.000000001,P$52/(P$14*12/52),0)</f>
      </c>
      <c r="Q53" s="4">
        <f>IF(Q$14&gt;0.000000001,Q$52/(Q$14*12/52),0)</f>
      </c>
      <c r="R53" s="4">
        <f>IF(R$14&gt;0.000000001,R$52/(R$14*12/52),0)</f>
      </c>
      <c r="S53" s="4">
        <f>IF(S$14&gt;0.000000001,S$52/(S$14*12/52),0)</f>
      </c>
      <c r="T53" s="4">
        <f>IF(T$14&gt;0.000000001,T$52/(T$14*12/52),0)</f>
      </c>
      <c r="U53" s="4">
        <f>IF(U$14&gt;0.000000001,U$52/(U$14*12/52),0)</f>
      </c>
      <c r="V53" s="4">
        <f>IF(V$14&gt;0.000000001,V$52/(V$14*12/52),0)</f>
      </c>
      <c r="W53" s="4">
        <f>IF(W$14&gt;0.000000001,W$52/(W$14*12/52),0)</f>
      </c>
      <c r="X53" s="4">
        <f>IF(X$14&gt;0.000000001,X$52/(X$14*12/52),0)</f>
      </c>
      <c r="Y53" s="4">
        <f>IF(Y$14&gt;0.000000001,Y$52/(Y$14*12/52),0)</f>
      </c>
      <c r="Z53" s="4">
        <f>IF(Z$14&gt;0.000000001,Z$52/(Z$14*12/52),0)</f>
      </c>
      <c r="AA53" s="4">
        <f>IF(AA$14&gt;0.000000001,AA$52/(AA$14*12/52),0)</f>
      </c>
      <c r="AB53" s="4">
        <f>IF(AB$14&gt;0.000000001,AB$52/(AB$14*12/52),0)</f>
      </c>
      <c r="AC53" s="4">
        <f>IF(AC$14&gt;0.000000001,AC$52/(AC$14*12/52),0)</f>
      </c>
      <c r="AD53" s="4">
        <f>IF(AD$14&gt;0.000000001,AD$52/(AD$14*12/52),0)</f>
      </c>
      <c r="AE53" s="4">
        <f>IF(AE$14&gt;0.000000001,AE$52/(AE$14*12/52),0)</f>
      </c>
      <c r="AF53" s="4">
        <f>IF(AF$14&gt;0.000000001,AF$52/(AF$14*12/52),0)</f>
      </c>
      <c r="AG53" s="4">
        <f>IF(AG$14&gt;0.000000001,AG$52/(AG$14*12/52),0)</f>
      </c>
      <c r="AH53" s="4">
        <f>IF(AH$14&gt;0.000000001,AH$52/(AH$14*12/52),0)</f>
      </c>
      <c r="AI53" s="4">
        <f>IF(AI$14&gt;0.000000001,AI$52/(AI$14*12/52),0)</f>
      </c>
      <c r="AJ53" s="4">
        <f>IF(AJ$14&gt;0.000000001,AJ$52/(AJ$14*12/52),0)</f>
      </c>
      <c r="AK53" s="4">
        <f>IF(AK$14&gt;0.000000001,AK$52/(AK$14*12/52),0)</f>
      </c>
      <c r="AL53" s="4">
        <f>IF(AL$14&gt;0.000000001,AL$52/(AL$14*12/52),0)</f>
      </c>
    </row>
    <row r="54">
      <c r="A54" t="str">
        <v>Realized advisor utilization</v>
      </c>
      <c r="B54" t="str">
        <v>utilization</v>
      </c>
      <c r="C54" s="3">
        <f>IF(C$7&gt;0,(MIN(C$43,C$34)+C$33)/(C$7*C$13),0)</f>
      </c>
      <c r="D54" s="3">
        <f>IF(D$7&gt;0,(MIN(D$43,D$34)+D$33)/(D$7*D$13),0)</f>
      </c>
      <c r="E54" s="3">
        <f>IF(E$7&gt;0,(MIN(E$43,E$34)+E$33)/(E$7*E$13),0)</f>
      </c>
      <c r="F54" s="3">
        <f>IF(F$7&gt;0,(MIN(F$43,F$34)+F$33)/(F$7*F$13),0)</f>
      </c>
      <c r="G54" s="3">
        <f>IF(G$7&gt;0,(MIN(G$43,G$34)+G$33)/(G$7*G$13),0)</f>
      </c>
      <c r="H54" s="3">
        <f>IF(H$7&gt;0,(MIN(H$43,H$34)+H$33)/(H$7*H$13),0)</f>
      </c>
      <c r="I54" s="3">
        <f>IF(I$7&gt;0,(MIN(I$43,I$34)+I$33)/(I$7*I$13),0)</f>
      </c>
      <c r="J54" s="3">
        <f>IF(J$7&gt;0,(MIN(J$43,J$34)+J$33)/(J$7*J$13),0)</f>
      </c>
      <c r="K54" s="3">
        <f>IF(K$7&gt;0,(MIN(K$43,K$34)+K$33)/(K$7*K$13),0)</f>
      </c>
      <c r="L54" s="3">
        <f>IF(L$7&gt;0,(MIN(L$43,L$34)+L$33)/(L$7*L$13),0)</f>
      </c>
      <c r="M54" s="3">
        <f>IF(M$7&gt;0,(MIN(M$43,M$34)+M$33)/(M$7*M$13),0)</f>
      </c>
      <c r="N54" s="3">
        <f>IF(N$7&gt;0,(MIN(N$43,N$34)+N$33)/(N$7*N$13),0)</f>
      </c>
      <c r="O54" s="3">
        <f>IF(O$7&gt;0,(MIN(O$43,O$34)+O$33)/(O$7*O$13),0)</f>
      </c>
      <c r="P54" s="3">
        <f>IF(P$7&gt;0,(MIN(P$43,P$34)+P$33)/(P$7*P$13),0)</f>
      </c>
      <c r="Q54" s="3">
        <f>IF(Q$7&gt;0,(MIN(Q$43,Q$34)+Q$33)/(Q$7*Q$13),0)</f>
      </c>
      <c r="R54" s="3">
        <f>IF(R$7&gt;0,(MIN(R$43,R$34)+R$33)/(R$7*R$13),0)</f>
      </c>
      <c r="S54" s="3">
        <f>IF(S$7&gt;0,(MIN(S$43,S$34)+S$33)/(S$7*S$13),0)</f>
      </c>
      <c r="T54" s="3">
        <f>IF(T$7&gt;0,(MIN(T$43,T$34)+T$33)/(T$7*T$13),0)</f>
      </c>
      <c r="U54" s="3">
        <f>IF(U$7&gt;0,(MIN(U$43,U$34)+U$33)/(U$7*U$13),0)</f>
      </c>
      <c r="V54" s="3">
        <f>IF(V$7&gt;0,(MIN(V$43,V$34)+V$33)/(V$7*V$13),0)</f>
      </c>
      <c r="W54" s="3">
        <f>IF(W$7&gt;0,(MIN(W$43,W$34)+W$33)/(W$7*W$13),0)</f>
      </c>
      <c r="X54" s="3">
        <f>IF(X$7&gt;0,(MIN(X$43,X$34)+X$33)/(X$7*X$13),0)</f>
      </c>
      <c r="Y54" s="3">
        <f>IF(Y$7&gt;0,(MIN(Y$43,Y$34)+Y$33)/(Y$7*Y$13),0)</f>
      </c>
      <c r="Z54" s="3">
        <f>IF(Z$7&gt;0,(MIN(Z$43,Z$34)+Z$33)/(Z$7*Z$13),0)</f>
      </c>
      <c r="AA54" s="3">
        <f>IF(AA$7&gt;0,(MIN(AA$43,AA$34)+AA$33)/(AA$7*AA$13),0)</f>
      </c>
      <c r="AB54" s="3">
        <f>IF(AB$7&gt;0,(MIN(AB$43,AB$34)+AB$33)/(AB$7*AB$13),0)</f>
      </c>
      <c r="AC54" s="3">
        <f>IF(AC$7&gt;0,(MIN(AC$43,AC$34)+AC$33)/(AC$7*AC$13),0)</f>
      </c>
      <c r="AD54" s="3">
        <f>IF(AD$7&gt;0,(MIN(AD$43,AD$34)+AD$33)/(AD$7*AD$13),0)</f>
      </c>
      <c r="AE54" s="3">
        <f>IF(AE$7&gt;0,(MIN(AE$43,AE$34)+AE$33)/(AE$7*AE$13),0)</f>
      </c>
      <c r="AF54" s="3">
        <f>IF(AF$7&gt;0,(MIN(AF$43,AF$34)+AF$33)/(AF$7*AF$13),0)</f>
      </c>
      <c r="AG54" s="3">
        <f>IF(AG$7&gt;0,(MIN(AG$43,AG$34)+AG$33)/(AG$7*AG$13),0)</f>
      </c>
      <c r="AH54" s="3">
        <f>IF(AH$7&gt;0,(MIN(AH$43,AH$34)+AH$33)/(AH$7*AH$13),0)</f>
      </c>
      <c r="AI54" s="3">
        <f>IF(AI$7&gt;0,(MIN(AI$43,AI$34)+AI$33)/(AI$7*AI$13),0)</f>
      </c>
      <c r="AJ54" s="3">
        <f>IF(AJ$7&gt;0,(MIN(AJ$43,AJ$34)+AJ$33)/(AJ$7*AJ$13),0)</f>
      </c>
      <c r="AK54" s="3">
        <f>IF(AK$7&gt;0,(MIN(AK$43,AK$34)+AK$33)/(AK$7*AK$13),0)</f>
      </c>
      <c r="AL54" s="3">
        <f>IF(AL$7&gt;0,(MIN(AL$43,AL$34)+AL$33)/(AL$7*AL$13),0)</f>
      </c>
    </row>
    <row r="55">
      <c r="A55" t="str">
        <v>Trailing 3-month utilization</v>
      </c>
      <c r="B55" t="str">
        <v>trailingUtil</v>
      </c>
      <c r="C55" s="3">
        <v>0</v>
      </c>
      <c r="D55" s="3">
        <v>0</v>
      </c>
      <c r="E55" s="3">
        <v>0</v>
      </c>
      <c r="F55" s="3">
        <f>AVERAGE(C$54:E$54)</f>
      </c>
      <c r="G55" s="3">
        <f>AVERAGE(D$54:F$54)</f>
      </c>
      <c r="H55" s="3">
        <f>AVERAGE(E$54:G$54)</f>
      </c>
      <c r="I55" s="3">
        <f>AVERAGE(F$54:H$54)</f>
      </c>
      <c r="J55" s="3">
        <f>AVERAGE(G$54:I$54)</f>
      </c>
      <c r="K55" s="3">
        <f>AVERAGE(H$54:J$54)</f>
      </c>
      <c r="L55" s="3">
        <f>AVERAGE(I$54:K$54)</f>
      </c>
      <c r="M55" s="3">
        <f>AVERAGE(J$54:L$54)</f>
      </c>
      <c r="N55" s="3">
        <f>AVERAGE(K$54:M$54)</f>
      </c>
      <c r="O55" s="3">
        <f>AVERAGE(L$54:N$54)</f>
      </c>
      <c r="P55" s="3">
        <f>AVERAGE(M$54:O$54)</f>
      </c>
      <c r="Q55" s="3">
        <f>AVERAGE(N$54:P$54)</f>
      </c>
      <c r="R55" s="3">
        <f>AVERAGE(O$54:Q$54)</f>
      </c>
      <c r="S55" s="3">
        <f>AVERAGE(P$54:R$54)</f>
      </c>
      <c r="T55" s="3">
        <f>AVERAGE(Q$54:S$54)</f>
      </c>
      <c r="U55" s="3">
        <f>AVERAGE(R$54:T$54)</f>
      </c>
      <c r="V55" s="3">
        <f>AVERAGE(S$54:U$54)</f>
      </c>
      <c r="W55" s="3">
        <f>AVERAGE(T$54:V$54)</f>
      </c>
      <c r="X55" s="3">
        <f>AVERAGE(U$54:W$54)</f>
      </c>
      <c r="Y55" s="3">
        <f>AVERAGE(V$54:X$54)</f>
      </c>
      <c r="Z55" s="3">
        <f>AVERAGE(W$54:Y$54)</f>
      </c>
      <c r="AA55" s="3">
        <f>AVERAGE(X$54:Z$54)</f>
      </c>
      <c r="AB55" s="3">
        <f>AVERAGE(Y$54:AA$54)</f>
      </c>
      <c r="AC55" s="3">
        <f>AVERAGE(Z$54:AB$54)</f>
      </c>
      <c r="AD55" s="3">
        <f>AVERAGE(AA$54:AC$54)</f>
      </c>
      <c r="AE55" s="3">
        <f>AVERAGE(AB$54:AD$54)</f>
      </c>
      <c r="AF55" s="3">
        <f>AVERAGE(AC$54:AE$54)</f>
      </c>
      <c r="AG55" s="3">
        <f>AVERAGE(AD$54:AF$54)</f>
      </c>
      <c r="AH55" s="3">
        <f>AVERAGE(AE$54:AG$54)</f>
      </c>
      <c r="AI55" s="3">
        <f>AVERAGE(AF$54:AH$54)</f>
      </c>
      <c r="AJ55" s="3">
        <f>AVERAGE(AG$54:AI$54)</f>
      </c>
      <c r="AK55" s="3">
        <f>AVERAGE(AH$54:AJ$54)</f>
      </c>
      <c r="AL55" s="3">
        <f>AVERAGE(AI$54:AK$54)</f>
      </c>
    </row>
    <row r="56">
      <c r="A56" t="str">
        <v>Hires decided, not yet arrived</v>
      </c>
      <c r="B56" t="str">
        <v>pendingHires</v>
      </c>
      <c r="C56" s="2">
        <v>0</v>
      </c>
      <c r="D56" s="2">
        <f>SUMIFS(C$58:C$58,C$2:C$2,"&gt;="&amp;(D$2-Inputs!$B$14+1),C$2:C$2,"&lt;="&amp;(D$2-1))</f>
      </c>
      <c r="E56" s="2">
        <f>SUMIFS(C$58:D$58,C$2:D$2,"&gt;="&amp;(E$2-Inputs!$B$14+1),C$2:D$2,"&lt;="&amp;(E$2-1))</f>
      </c>
      <c r="F56" s="2">
        <f>SUMIFS(C$58:E$58,C$2:E$2,"&gt;="&amp;(F$2-Inputs!$B$14+1),C$2:E$2,"&lt;="&amp;(F$2-1))</f>
      </c>
      <c r="G56" s="2">
        <f>SUMIFS(C$58:F$58,C$2:F$2,"&gt;="&amp;(G$2-Inputs!$B$14+1),C$2:F$2,"&lt;="&amp;(G$2-1))</f>
      </c>
      <c r="H56" s="2">
        <f>SUMIFS(C$58:G$58,C$2:G$2,"&gt;="&amp;(H$2-Inputs!$B$14+1),C$2:G$2,"&lt;="&amp;(H$2-1))</f>
      </c>
      <c r="I56" s="2">
        <f>SUMIFS(C$58:H$58,C$2:H$2,"&gt;="&amp;(I$2-Inputs!$B$14+1),C$2:H$2,"&lt;="&amp;(I$2-1))</f>
      </c>
      <c r="J56" s="2">
        <f>SUMIFS(C$58:I$58,C$2:I$2,"&gt;="&amp;(J$2-Inputs!$B$14+1),C$2:I$2,"&lt;="&amp;(J$2-1))</f>
      </c>
      <c r="K56" s="2">
        <f>SUMIFS(C$58:J$58,C$2:J$2,"&gt;="&amp;(K$2-Inputs!$B$14+1),C$2:J$2,"&lt;="&amp;(K$2-1))</f>
      </c>
      <c r="L56" s="2">
        <f>SUMIFS(C$58:K$58,C$2:K$2,"&gt;="&amp;(L$2-Inputs!$B$14+1),C$2:K$2,"&lt;="&amp;(L$2-1))</f>
      </c>
      <c r="M56" s="2">
        <f>SUMIFS(C$58:L$58,C$2:L$2,"&gt;="&amp;(M$2-Inputs!$B$14+1),C$2:L$2,"&lt;="&amp;(M$2-1))</f>
      </c>
      <c r="N56" s="2">
        <f>SUMIFS(C$58:M$58,C$2:M$2,"&gt;="&amp;(N$2-Inputs!$B$14+1),C$2:M$2,"&lt;="&amp;(N$2-1))</f>
      </c>
      <c r="O56" s="2">
        <f>SUMIFS(C$58:N$58,C$2:N$2,"&gt;="&amp;(O$2-Inputs!$B$14+1),C$2:N$2,"&lt;="&amp;(O$2-1))</f>
      </c>
      <c r="P56" s="2">
        <f>SUMIFS(C$58:O$58,C$2:O$2,"&gt;="&amp;(P$2-Inputs!$B$14+1),C$2:O$2,"&lt;="&amp;(P$2-1))</f>
      </c>
      <c r="Q56" s="2">
        <f>SUMIFS(C$58:P$58,C$2:P$2,"&gt;="&amp;(Q$2-Inputs!$B$14+1),C$2:P$2,"&lt;="&amp;(Q$2-1))</f>
      </c>
      <c r="R56" s="2">
        <f>SUMIFS(C$58:Q$58,C$2:Q$2,"&gt;="&amp;(R$2-Inputs!$B$14+1),C$2:Q$2,"&lt;="&amp;(R$2-1))</f>
      </c>
      <c r="S56" s="2">
        <f>SUMIFS(C$58:R$58,C$2:R$2,"&gt;="&amp;(S$2-Inputs!$B$14+1),C$2:R$2,"&lt;="&amp;(S$2-1))</f>
      </c>
      <c r="T56" s="2">
        <f>SUMIFS(C$58:S$58,C$2:S$2,"&gt;="&amp;(T$2-Inputs!$B$14+1),C$2:S$2,"&lt;="&amp;(T$2-1))</f>
      </c>
      <c r="U56" s="2">
        <f>SUMIFS(C$58:T$58,C$2:T$2,"&gt;="&amp;(U$2-Inputs!$B$14+1),C$2:T$2,"&lt;="&amp;(U$2-1))</f>
      </c>
      <c r="V56" s="2">
        <f>SUMIFS(C$58:U$58,C$2:U$2,"&gt;="&amp;(V$2-Inputs!$B$14+1),C$2:U$2,"&lt;="&amp;(V$2-1))</f>
      </c>
      <c r="W56" s="2">
        <f>SUMIFS(C$58:V$58,C$2:V$2,"&gt;="&amp;(W$2-Inputs!$B$14+1),C$2:V$2,"&lt;="&amp;(W$2-1))</f>
      </c>
      <c r="X56" s="2">
        <f>SUMIFS(C$58:W$58,C$2:W$2,"&gt;="&amp;(X$2-Inputs!$B$14+1),C$2:W$2,"&lt;="&amp;(X$2-1))</f>
      </c>
      <c r="Y56" s="2">
        <f>SUMIFS(C$58:X$58,C$2:X$2,"&gt;="&amp;(Y$2-Inputs!$B$14+1),C$2:X$2,"&lt;="&amp;(Y$2-1))</f>
      </c>
      <c r="Z56" s="2">
        <f>SUMIFS(C$58:Y$58,C$2:Y$2,"&gt;="&amp;(Z$2-Inputs!$B$14+1),C$2:Y$2,"&lt;="&amp;(Z$2-1))</f>
      </c>
      <c r="AA56" s="2">
        <f>SUMIFS(C$58:Z$58,C$2:Z$2,"&gt;="&amp;(AA$2-Inputs!$B$14+1),C$2:Z$2,"&lt;="&amp;(AA$2-1))</f>
      </c>
      <c r="AB56" s="2">
        <f>SUMIFS(C$58:AA$58,C$2:AA$2,"&gt;="&amp;(AB$2-Inputs!$B$14+1),C$2:AA$2,"&lt;="&amp;(AB$2-1))</f>
      </c>
      <c r="AC56" s="2">
        <f>SUMIFS(C$58:AB$58,C$2:AB$2,"&gt;="&amp;(AC$2-Inputs!$B$14+1),C$2:AB$2,"&lt;="&amp;(AC$2-1))</f>
      </c>
      <c r="AD56" s="2">
        <f>SUMIFS(C$58:AC$58,C$2:AC$2,"&gt;="&amp;(AD$2-Inputs!$B$14+1),C$2:AC$2,"&lt;="&amp;(AD$2-1))</f>
      </c>
      <c r="AE56" s="2">
        <f>SUMIFS(C$58:AD$58,C$2:AD$2,"&gt;="&amp;(AE$2-Inputs!$B$14+1),C$2:AD$2,"&lt;="&amp;(AE$2-1))</f>
      </c>
      <c r="AF56" s="2">
        <f>SUMIFS(C$58:AE$58,C$2:AE$2,"&gt;="&amp;(AF$2-Inputs!$B$14+1),C$2:AE$2,"&lt;="&amp;(AF$2-1))</f>
      </c>
      <c r="AG56" s="2">
        <f>SUMIFS(C$58:AF$58,C$2:AF$2,"&gt;="&amp;(AG$2-Inputs!$B$14+1),C$2:AF$2,"&lt;="&amp;(AG$2-1))</f>
      </c>
      <c r="AH56" s="2">
        <f>SUMIFS(C$58:AG$58,C$2:AG$2,"&gt;="&amp;(AH$2-Inputs!$B$14+1),C$2:AG$2,"&lt;="&amp;(AH$2-1))</f>
      </c>
      <c r="AI56" s="2">
        <f>SUMIFS(C$58:AH$58,C$2:AH$2,"&gt;="&amp;(AI$2-Inputs!$B$14+1),C$2:AH$2,"&lt;="&amp;(AI$2-1))</f>
      </c>
      <c r="AJ56" s="2">
        <f>SUMIFS(C$58:AI$58,C$2:AI$2,"&gt;="&amp;(AJ$2-Inputs!$B$14+1),C$2:AI$2,"&lt;="&amp;(AJ$2-1))</f>
      </c>
      <c r="AK56" s="2">
        <f>SUMIFS(C$58:AJ$58,C$2:AJ$2,"&gt;="&amp;(AK$2-Inputs!$B$14+1),C$2:AJ$2,"&lt;="&amp;(AK$2-1))</f>
      </c>
      <c r="AL56" s="2">
        <f>SUMIFS(C$58:AK$58,C$2:AK$2,"&gt;="&amp;(AL$2-Inputs!$B$14+1),C$2:AK$2,"&lt;="&amp;(AL$2-1))</f>
      </c>
    </row>
    <row r="57">
      <c r="A57" t="str">
        <v>Hire decisions inside cooldown window</v>
      </c>
      <c r="B57" t="str">
        <v>recentDecisions</v>
      </c>
      <c r="C57" s="2">
        <v>0</v>
      </c>
      <c r="D57" s="2">
        <f>SUMIFS(C$58:C$58,C$2:C$2,"&gt;="&amp;(D$2-Inputs!$B$15),C$2:C$2,"&lt;="&amp;(D$2-1))</f>
      </c>
      <c r="E57" s="2">
        <f>SUMIFS(C$58:D$58,C$2:D$2,"&gt;="&amp;(E$2-Inputs!$B$15),C$2:D$2,"&lt;="&amp;(E$2-1))</f>
      </c>
      <c r="F57" s="2">
        <f>SUMIFS(C$58:E$58,C$2:E$2,"&gt;="&amp;(F$2-Inputs!$B$15),C$2:E$2,"&lt;="&amp;(F$2-1))</f>
      </c>
      <c r="G57" s="2">
        <f>SUMIFS(C$58:F$58,C$2:F$2,"&gt;="&amp;(G$2-Inputs!$B$15),C$2:F$2,"&lt;="&amp;(G$2-1))</f>
      </c>
      <c r="H57" s="2">
        <f>SUMIFS(C$58:G$58,C$2:G$2,"&gt;="&amp;(H$2-Inputs!$B$15),C$2:G$2,"&lt;="&amp;(H$2-1))</f>
      </c>
      <c r="I57" s="2">
        <f>SUMIFS(C$58:H$58,C$2:H$2,"&gt;="&amp;(I$2-Inputs!$B$15),C$2:H$2,"&lt;="&amp;(I$2-1))</f>
      </c>
      <c r="J57" s="2">
        <f>SUMIFS(C$58:I$58,C$2:I$2,"&gt;="&amp;(J$2-Inputs!$B$15),C$2:I$2,"&lt;="&amp;(J$2-1))</f>
      </c>
      <c r="K57" s="2">
        <f>SUMIFS(C$58:J$58,C$2:J$2,"&gt;="&amp;(K$2-Inputs!$B$15),C$2:J$2,"&lt;="&amp;(K$2-1))</f>
      </c>
      <c r="L57" s="2">
        <f>SUMIFS(C$58:K$58,C$2:K$2,"&gt;="&amp;(L$2-Inputs!$B$15),C$2:K$2,"&lt;="&amp;(L$2-1))</f>
      </c>
      <c r="M57" s="2">
        <f>SUMIFS(C$58:L$58,C$2:L$2,"&gt;="&amp;(M$2-Inputs!$B$15),C$2:L$2,"&lt;="&amp;(M$2-1))</f>
      </c>
      <c r="N57" s="2">
        <f>SUMIFS(C$58:M$58,C$2:M$2,"&gt;="&amp;(N$2-Inputs!$B$15),C$2:M$2,"&lt;="&amp;(N$2-1))</f>
      </c>
      <c r="O57" s="2">
        <f>SUMIFS(C$58:N$58,C$2:N$2,"&gt;="&amp;(O$2-Inputs!$B$15),C$2:N$2,"&lt;="&amp;(O$2-1))</f>
      </c>
      <c r="P57" s="2">
        <f>SUMIFS(C$58:O$58,C$2:O$2,"&gt;="&amp;(P$2-Inputs!$B$15),C$2:O$2,"&lt;="&amp;(P$2-1))</f>
      </c>
      <c r="Q57" s="2">
        <f>SUMIFS(C$58:P$58,C$2:P$2,"&gt;="&amp;(Q$2-Inputs!$B$15),C$2:P$2,"&lt;="&amp;(Q$2-1))</f>
      </c>
      <c r="R57" s="2">
        <f>SUMIFS(C$58:Q$58,C$2:Q$2,"&gt;="&amp;(R$2-Inputs!$B$15),C$2:Q$2,"&lt;="&amp;(R$2-1))</f>
      </c>
      <c r="S57" s="2">
        <f>SUMIFS(C$58:R$58,C$2:R$2,"&gt;="&amp;(S$2-Inputs!$B$15),C$2:R$2,"&lt;="&amp;(S$2-1))</f>
      </c>
      <c r="T57" s="2">
        <f>SUMIFS(C$58:S$58,C$2:S$2,"&gt;="&amp;(T$2-Inputs!$B$15),C$2:S$2,"&lt;="&amp;(T$2-1))</f>
      </c>
      <c r="U57" s="2">
        <f>SUMIFS(C$58:T$58,C$2:T$2,"&gt;="&amp;(U$2-Inputs!$B$15),C$2:T$2,"&lt;="&amp;(U$2-1))</f>
      </c>
      <c r="V57" s="2">
        <f>SUMIFS(C$58:U$58,C$2:U$2,"&gt;="&amp;(V$2-Inputs!$B$15),C$2:U$2,"&lt;="&amp;(V$2-1))</f>
      </c>
      <c r="W57" s="2">
        <f>SUMIFS(C$58:V$58,C$2:V$2,"&gt;="&amp;(W$2-Inputs!$B$15),C$2:V$2,"&lt;="&amp;(W$2-1))</f>
      </c>
      <c r="X57" s="2">
        <f>SUMIFS(C$58:W$58,C$2:W$2,"&gt;="&amp;(X$2-Inputs!$B$15),C$2:W$2,"&lt;="&amp;(X$2-1))</f>
      </c>
      <c r="Y57" s="2">
        <f>SUMIFS(C$58:X$58,C$2:X$2,"&gt;="&amp;(Y$2-Inputs!$B$15),C$2:X$2,"&lt;="&amp;(Y$2-1))</f>
      </c>
      <c r="Z57" s="2">
        <f>SUMIFS(C$58:Y$58,C$2:Y$2,"&gt;="&amp;(Z$2-Inputs!$B$15),C$2:Y$2,"&lt;="&amp;(Z$2-1))</f>
      </c>
      <c r="AA57" s="2">
        <f>SUMIFS(C$58:Z$58,C$2:Z$2,"&gt;="&amp;(AA$2-Inputs!$B$15),C$2:Z$2,"&lt;="&amp;(AA$2-1))</f>
      </c>
      <c r="AB57" s="2">
        <f>SUMIFS(C$58:AA$58,C$2:AA$2,"&gt;="&amp;(AB$2-Inputs!$B$15),C$2:AA$2,"&lt;="&amp;(AB$2-1))</f>
      </c>
      <c r="AC57" s="2">
        <f>SUMIFS(C$58:AB$58,C$2:AB$2,"&gt;="&amp;(AC$2-Inputs!$B$15),C$2:AB$2,"&lt;="&amp;(AC$2-1))</f>
      </c>
      <c r="AD57" s="2">
        <f>SUMIFS(C$58:AC$58,C$2:AC$2,"&gt;="&amp;(AD$2-Inputs!$B$15),C$2:AC$2,"&lt;="&amp;(AD$2-1))</f>
      </c>
      <c r="AE57" s="2">
        <f>SUMIFS(C$58:AD$58,C$2:AD$2,"&gt;="&amp;(AE$2-Inputs!$B$15),C$2:AD$2,"&lt;="&amp;(AE$2-1))</f>
      </c>
      <c r="AF57" s="2">
        <f>SUMIFS(C$58:AE$58,C$2:AE$2,"&gt;="&amp;(AF$2-Inputs!$B$15),C$2:AE$2,"&lt;="&amp;(AF$2-1))</f>
      </c>
      <c r="AG57" s="2">
        <f>SUMIFS(C$58:AF$58,C$2:AF$2,"&gt;="&amp;(AG$2-Inputs!$B$15),C$2:AF$2,"&lt;="&amp;(AG$2-1))</f>
      </c>
      <c r="AH57" s="2">
        <f>SUMIFS(C$58:AG$58,C$2:AG$2,"&gt;="&amp;(AH$2-Inputs!$B$15),C$2:AG$2,"&lt;="&amp;(AH$2-1))</f>
      </c>
      <c r="AI57" s="2">
        <f>SUMIFS(C$58:AH$58,C$2:AH$2,"&gt;="&amp;(AI$2-Inputs!$B$15),C$2:AH$2,"&lt;="&amp;(AI$2-1))</f>
      </c>
      <c r="AJ57" s="2">
        <f>SUMIFS(C$58:AI$58,C$2:AI$2,"&gt;="&amp;(AJ$2-Inputs!$B$15),C$2:AI$2,"&lt;="&amp;(AJ$2-1))</f>
      </c>
      <c r="AK57" s="2">
        <f>SUMIFS(C$58:AJ$58,C$2:AJ$2,"&gt;="&amp;(AK$2-Inputs!$B$15),C$2:AJ$2,"&lt;="&amp;(AK$2-1))</f>
      </c>
      <c r="AL57" s="2">
        <f>SUMIFS(C$58:AK$58,C$2:AK$2,"&gt;="&amp;(AL$2-Inputs!$B$15),C$2:AK$2,"&lt;="&amp;(AL$2-1))</f>
      </c>
    </row>
    <row r="58">
      <c r="A58" t="str">
        <v>Hire decision (1 = hire)</v>
      </c>
      <c r="B58" t="str">
        <v>hireDecision</v>
      </c>
      <c r="C58" s="2">
        <v>0</v>
      </c>
      <c r="D58" s="2">
        <v>0</v>
      </c>
      <c r="E58" s="2">
        <v>0</v>
      </c>
      <c r="F58" s="2">
        <f>IF(AND(ROUND(F$55,9)&gt;=Inputs!$B$11,F$16&gt;Inputs!$B$12,F$7+F$56&lt;Inputs!$B$13,F$57=0),1,0)</f>
      </c>
      <c r="G58" s="2">
        <f>IF(AND(ROUND(G$55,9)&gt;=Inputs!$B$11,G$16&gt;Inputs!$B$12,G$7+G$56&lt;Inputs!$B$13,G$57=0),1,0)</f>
      </c>
      <c r="H58" s="2">
        <f>IF(AND(ROUND(H$55,9)&gt;=Inputs!$B$11,H$16&gt;Inputs!$B$12,H$7+H$56&lt;Inputs!$B$13,H$57=0),1,0)</f>
      </c>
      <c r="I58" s="2">
        <f>IF(AND(ROUND(I$55,9)&gt;=Inputs!$B$11,I$16&gt;Inputs!$B$12,I$7+I$56&lt;Inputs!$B$13,I$57=0),1,0)</f>
      </c>
      <c r="J58" s="2">
        <f>IF(AND(ROUND(J$55,9)&gt;=Inputs!$B$11,J$16&gt;Inputs!$B$12,J$7+J$56&lt;Inputs!$B$13,J$57=0),1,0)</f>
      </c>
      <c r="K58" s="2">
        <f>IF(AND(ROUND(K$55,9)&gt;=Inputs!$B$11,K$16&gt;Inputs!$B$12,K$7+K$56&lt;Inputs!$B$13,K$57=0),1,0)</f>
      </c>
      <c r="L58" s="2">
        <f>IF(AND(ROUND(L$55,9)&gt;=Inputs!$B$11,L$16&gt;Inputs!$B$12,L$7+L$56&lt;Inputs!$B$13,L$57=0),1,0)</f>
      </c>
      <c r="M58" s="2">
        <f>IF(AND(ROUND(M$55,9)&gt;=Inputs!$B$11,M$16&gt;Inputs!$B$12,M$7+M$56&lt;Inputs!$B$13,M$57=0),1,0)</f>
      </c>
      <c r="N58" s="2">
        <f>IF(AND(ROUND(N$55,9)&gt;=Inputs!$B$11,N$16&gt;Inputs!$B$12,N$7+N$56&lt;Inputs!$B$13,N$57=0),1,0)</f>
      </c>
      <c r="O58" s="2">
        <f>IF(AND(ROUND(O$55,9)&gt;=Inputs!$B$11,O$16&gt;Inputs!$B$12,O$7+O$56&lt;Inputs!$B$13,O$57=0),1,0)</f>
      </c>
      <c r="P58" s="2">
        <f>IF(AND(ROUND(P$55,9)&gt;=Inputs!$B$11,P$16&gt;Inputs!$B$12,P$7+P$56&lt;Inputs!$B$13,P$57=0),1,0)</f>
      </c>
      <c r="Q58" s="2">
        <f>IF(AND(ROUND(Q$55,9)&gt;=Inputs!$B$11,Q$16&gt;Inputs!$B$12,Q$7+Q$56&lt;Inputs!$B$13,Q$57=0),1,0)</f>
      </c>
      <c r="R58" s="2">
        <f>IF(AND(ROUND(R$55,9)&gt;=Inputs!$B$11,R$16&gt;Inputs!$B$12,R$7+R$56&lt;Inputs!$B$13,R$57=0),1,0)</f>
      </c>
      <c r="S58" s="2">
        <f>IF(AND(ROUND(S$55,9)&gt;=Inputs!$B$11,S$16&gt;Inputs!$B$12,S$7+S$56&lt;Inputs!$B$13,S$57=0),1,0)</f>
      </c>
      <c r="T58" s="2">
        <f>IF(AND(ROUND(T$55,9)&gt;=Inputs!$B$11,T$16&gt;Inputs!$B$12,T$7+T$56&lt;Inputs!$B$13,T$57=0),1,0)</f>
      </c>
      <c r="U58" s="2">
        <f>IF(AND(ROUND(U$55,9)&gt;=Inputs!$B$11,U$16&gt;Inputs!$B$12,U$7+U$56&lt;Inputs!$B$13,U$57=0),1,0)</f>
      </c>
      <c r="V58" s="2">
        <f>IF(AND(ROUND(V$55,9)&gt;=Inputs!$B$11,V$16&gt;Inputs!$B$12,V$7+V$56&lt;Inputs!$B$13,V$57=0),1,0)</f>
      </c>
      <c r="W58" s="2">
        <f>IF(AND(ROUND(W$55,9)&gt;=Inputs!$B$11,W$16&gt;Inputs!$B$12,W$7+W$56&lt;Inputs!$B$13,W$57=0),1,0)</f>
      </c>
      <c r="X58" s="2">
        <f>IF(AND(ROUND(X$55,9)&gt;=Inputs!$B$11,X$16&gt;Inputs!$B$12,X$7+X$56&lt;Inputs!$B$13,X$57=0),1,0)</f>
      </c>
      <c r="Y58" s="2">
        <f>IF(AND(ROUND(Y$55,9)&gt;=Inputs!$B$11,Y$16&gt;Inputs!$B$12,Y$7+Y$56&lt;Inputs!$B$13,Y$57=0),1,0)</f>
      </c>
      <c r="Z58" s="2">
        <f>IF(AND(ROUND(Z$55,9)&gt;=Inputs!$B$11,Z$16&gt;Inputs!$B$12,Z$7+Z$56&lt;Inputs!$B$13,Z$57=0),1,0)</f>
      </c>
      <c r="AA58" s="2">
        <f>IF(AND(ROUND(AA$55,9)&gt;=Inputs!$B$11,AA$16&gt;Inputs!$B$12,AA$7+AA$56&lt;Inputs!$B$13,AA$57=0),1,0)</f>
      </c>
      <c r="AB58" s="2">
        <f>IF(AND(ROUND(AB$55,9)&gt;=Inputs!$B$11,AB$16&gt;Inputs!$B$12,AB$7+AB$56&lt;Inputs!$B$13,AB$57=0),1,0)</f>
      </c>
      <c r="AC58" s="2">
        <f>IF(AND(ROUND(AC$55,9)&gt;=Inputs!$B$11,AC$16&gt;Inputs!$B$12,AC$7+AC$56&lt;Inputs!$B$13,AC$57=0),1,0)</f>
      </c>
      <c r="AD58" s="2">
        <f>IF(AND(ROUND(AD$55,9)&gt;=Inputs!$B$11,AD$16&gt;Inputs!$B$12,AD$7+AD$56&lt;Inputs!$B$13,AD$57=0),1,0)</f>
      </c>
      <c r="AE58" s="2">
        <f>IF(AND(ROUND(AE$55,9)&gt;=Inputs!$B$11,AE$16&gt;Inputs!$B$12,AE$7+AE$56&lt;Inputs!$B$13,AE$57=0),1,0)</f>
      </c>
      <c r="AF58" s="2">
        <f>IF(AND(ROUND(AF$55,9)&gt;=Inputs!$B$11,AF$16&gt;Inputs!$B$12,AF$7+AF$56&lt;Inputs!$B$13,AF$57=0),1,0)</f>
      </c>
      <c r="AG58" s="2">
        <f>IF(AND(ROUND(AG$55,9)&gt;=Inputs!$B$11,AG$16&gt;Inputs!$B$12,AG$7+AG$56&lt;Inputs!$B$13,AG$57=0),1,0)</f>
      </c>
      <c r="AH58" s="2">
        <f>IF(AND(ROUND(AH$55,9)&gt;=Inputs!$B$11,AH$16&gt;Inputs!$B$12,AH$7+AH$56&lt;Inputs!$B$13,AH$57=0),1,0)</f>
      </c>
      <c r="AI58" s="2">
        <f>IF(AND(ROUND(AI$55,9)&gt;=Inputs!$B$11,AI$16&gt;Inputs!$B$12,AI$7+AI$56&lt;Inputs!$B$13,AI$57=0),1,0)</f>
      </c>
      <c r="AJ58" s="2">
        <f>IF(AND(ROUND(AJ$55,9)&gt;=Inputs!$B$11,AJ$16&gt;Inputs!$B$12,AJ$7+AJ$56&lt;Inputs!$B$13,AJ$57=0),1,0)</f>
      </c>
      <c r="AK58" s="2">
        <f>IF(AND(ROUND(AK$55,9)&gt;=Inputs!$B$11,AK$16&gt;Inputs!$B$12,AK$7+AK$56&lt;Inputs!$B$13,AK$57=0),1,0)</f>
      </c>
      <c r="AL58" s="2">
        <f>IF(AND(ROUND(AL$55,9)&gt;=Inputs!$B$11,AL$16&gt;Inputs!$B$12,AL$7+AL$56&lt;Inputs!$B$13,AL$57=0),1,0)</f>
      </c>
    </row>
    <row r="59">
      <c r="A59" t="str">
        <v>Revenue: Readiness Assessment</v>
      </c>
      <c r="B59" t="str">
        <v>rev_assessment</v>
      </c>
      <c r="C59" s="1">
        <f>C$44*Inputs!$B$33/Inputs!$B$45*C$4</f>
      </c>
      <c r="D59" s="1">
        <f>D$44*Inputs!$B$33/Inputs!$B$45*D$4</f>
      </c>
      <c r="E59" s="1">
        <f>E$44*Inputs!$B$33/Inputs!$B$45*E$4</f>
      </c>
      <c r="F59" s="1">
        <f>F$44*Inputs!$B$33/Inputs!$B$45*F$4</f>
      </c>
      <c r="G59" s="1">
        <f>G$44*Inputs!$B$33/Inputs!$B$45*G$4</f>
      </c>
      <c r="H59" s="1">
        <f>H$44*Inputs!$B$33/Inputs!$B$45*H$4</f>
      </c>
      <c r="I59" s="1">
        <f>I$44*Inputs!$B$33/Inputs!$B$45*I$4</f>
      </c>
      <c r="J59" s="1">
        <f>J$44*Inputs!$B$33/Inputs!$B$45*J$4</f>
      </c>
      <c r="K59" s="1">
        <f>K$44*Inputs!$B$33/Inputs!$B$45*K$4</f>
      </c>
      <c r="L59" s="1">
        <f>L$44*Inputs!$B$33/Inputs!$B$45*L$4</f>
      </c>
      <c r="M59" s="1">
        <f>M$44*Inputs!$B$33/Inputs!$B$45*M$4</f>
      </c>
      <c r="N59" s="1">
        <f>N$44*Inputs!$B$33/Inputs!$B$45*N$4</f>
      </c>
      <c r="O59" s="1">
        <f>O$44*Inputs!$B$33/Inputs!$B$45*O$4</f>
      </c>
      <c r="P59" s="1">
        <f>P$44*Inputs!$B$33/Inputs!$B$45*P$4</f>
      </c>
      <c r="Q59" s="1">
        <f>Q$44*Inputs!$B$33/Inputs!$B$45*Q$4</f>
      </c>
      <c r="R59" s="1">
        <f>R$44*Inputs!$B$33/Inputs!$B$45*R$4</f>
      </c>
      <c r="S59" s="1">
        <f>S$44*Inputs!$B$33/Inputs!$B$45*S$4</f>
      </c>
      <c r="T59" s="1">
        <f>T$44*Inputs!$B$33/Inputs!$B$45*T$4</f>
      </c>
      <c r="U59" s="1">
        <f>U$44*Inputs!$B$33/Inputs!$B$45*U$4</f>
      </c>
      <c r="V59" s="1">
        <f>V$44*Inputs!$B$33/Inputs!$B$45*V$4</f>
      </c>
      <c r="W59" s="1">
        <f>W$44*Inputs!$B$33/Inputs!$B$45*W$4</f>
      </c>
      <c r="X59" s="1">
        <f>X$44*Inputs!$B$33/Inputs!$B$45*X$4</f>
      </c>
      <c r="Y59" s="1">
        <f>Y$44*Inputs!$B$33/Inputs!$B$45*Y$4</f>
      </c>
      <c r="Z59" s="1">
        <f>Z$44*Inputs!$B$33/Inputs!$B$45*Z$4</f>
      </c>
      <c r="AA59" s="1">
        <f>AA$44*Inputs!$B$33/Inputs!$B$45*AA$4</f>
      </c>
      <c r="AB59" s="1">
        <f>AB$44*Inputs!$B$33/Inputs!$B$45*AB$4</f>
      </c>
      <c r="AC59" s="1">
        <f>AC$44*Inputs!$B$33/Inputs!$B$45*AC$4</f>
      </c>
      <c r="AD59" s="1">
        <f>AD$44*Inputs!$B$33/Inputs!$B$45*AD$4</f>
      </c>
      <c r="AE59" s="1">
        <f>AE$44*Inputs!$B$33/Inputs!$B$45*AE$4</f>
      </c>
      <c r="AF59" s="1">
        <f>AF$44*Inputs!$B$33/Inputs!$B$45*AF$4</f>
      </c>
      <c r="AG59" s="1">
        <f>AG$44*Inputs!$B$33/Inputs!$B$45*AG$4</f>
      </c>
      <c r="AH59" s="1">
        <f>AH$44*Inputs!$B$33/Inputs!$B$45*AH$4</f>
      </c>
      <c r="AI59" s="1">
        <f>AI$44*Inputs!$B$33/Inputs!$B$45*AI$4</f>
      </c>
      <c r="AJ59" s="1">
        <f>AJ$44*Inputs!$B$33/Inputs!$B$45*AJ$4</f>
      </c>
      <c r="AK59" s="1">
        <f>AK$44*Inputs!$B$33/Inputs!$B$45*AK$4</f>
      </c>
      <c r="AL59" s="1">
        <f>AL$44*Inputs!$B$33/Inputs!$B$45*AL$4</f>
      </c>
    </row>
    <row r="60">
      <c r="A60" t="str">
        <v>Revenue: Prioritization &amp; Attack Narrative Sprint</v>
      </c>
      <c r="B60" t="str">
        <v>rev_sprint</v>
      </c>
      <c r="C60" s="1">
        <f>C$45*Inputs!$B$34/Inputs!$B$46*C$4</f>
      </c>
      <c r="D60" s="1">
        <f>D$45*Inputs!$B$34/Inputs!$B$46*D$4</f>
      </c>
      <c r="E60" s="1">
        <f>E$45*Inputs!$B$34/Inputs!$B$46*E$4</f>
      </c>
      <c r="F60" s="1">
        <f>F$45*Inputs!$B$34/Inputs!$B$46*F$4</f>
      </c>
      <c r="G60" s="1">
        <f>G$45*Inputs!$B$34/Inputs!$B$46*G$4</f>
      </c>
      <c r="H60" s="1">
        <f>H$45*Inputs!$B$34/Inputs!$B$46*H$4</f>
      </c>
      <c r="I60" s="1">
        <f>I$45*Inputs!$B$34/Inputs!$B$46*I$4</f>
      </c>
      <c r="J60" s="1">
        <f>J$45*Inputs!$B$34/Inputs!$B$46*J$4</f>
      </c>
      <c r="K60" s="1">
        <f>K$45*Inputs!$B$34/Inputs!$B$46*K$4</f>
      </c>
      <c r="L60" s="1">
        <f>L$45*Inputs!$B$34/Inputs!$B$46*L$4</f>
      </c>
      <c r="M60" s="1">
        <f>M$45*Inputs!$B$34/Inputs!$B$46*M$4</f>
      </c>
      <c r="N60" s="1">
        <f>N$45*Inputs!$B$34/Inputs!$B$46*N$4</f>
      </c>
      <c r="O60" s="1">
        <f>O$45*Inputs!$B$34/Inputs!$B$46*O$4</f>
      </c>
      <c r="P60" s="1">
        <f>P$45*Inputs!$B$34/Inputs!$B$46*P$4</f>
      </c>
      <c r="Q60" s="1">
        <f>Q$45*Inputs!$B$34/Inputs!$B$46*Q$4</f>
      </c>
      <c r="R60" s="1">
        <f>R$45*Inputs!$B$34/Inputs!$B$46*R$4</f>
      </c>
      <c r="S60" s="1">
        <f>S$45*Inputs!$B$34/Inputs!$B$46*S$4</f>
      </c>
      <c r="T60" s="1">
        <f>T$45*Inputs!$B$34/Inputs!$B$46*T$4</f>
      </c>
      <c r="U60" s="1">
        <f>U$45*Inputs!$B$34/Inputs!$B$46*U$4</f>
      </c>
      <c r="V60" s="1">
        <f>V$45*Inputs!$B$34/Inputs!$B$46*V$4</f>
      </c>
      <c r="W60" s="1">
        <f>W$45*Inputs!$B$34/Inputs!$B$46*W$4</f>
      </c>
      <c r="X60" s="1">
        <f>X$45*Inputs!$B$34/Inputs!$B$46*X$4</f>
      </c>
      <c r="Y60" s="1">
        <f>Y$45*Inputs!$B$34/Inputs!$B$46*Y$4</f>
      </c>
      <c r="Z60" s="1">
        <f>Z$45*Inputs!$B$34/Inputs!$B$46*Z$4</f>
      </c>
      <c r="AA60" s="1">
        <f>AA$45*Inputs!$B$34/Inputs!$B$46*AA$4</f>
      </c>
      <c r="AB60" s="1">
        <f>AB$45*Inputs!$B$34/Inputs!$B$46*AB$4</f>
      </c>
      <c r="AC60" s="1">
        <f>AC$45*Inputs!$B$34/Inputs!$B$46*AC$4</f>
      </c>
      <c r="AD60" s="1">
        <f>AD$45*Inputs!$B$34/Inputs!$B$46*AD$4</f>
      </c>
      <c r="AE60" s="1">
        <f>AE$45*Inputs!$B$34/Inputs!$B$46*AE$4</f>
      </c>
      <c r="AF60" s="1">
        <f>AF$45*Inputs!$B$34/Inputs!$B$46*AF$4</f>
      </c>
      <c r="AG60" s="1">
        <f>AG$45*Inputs!$B$34/Inputs!$B$46*AG$4</f>
      </c>
      <c r="AH60" s="1">
        <f>AH$45*Inputs!$B$34/Inputs!$B$46*AH$4</f>
      </c>
      <c r="AI60" s="1">
        <f>AI$45*Inputs!$B$34/Inputs!$B$46*AI$4</f>
      </c>
      <c r="AJ60" s="1">
        <f>AJ$45*Inputs!$B$34/Inputs!$B$46*AJ$4</f>
      </c>
      <c r="AK60" s="1">
        <f>AK$45*Inputs!$B$34/Inputs!$B$46*AK$4</f>
      </c>
      <c r="AL60" s="1">
        <f>AL$45*Inputs!$B$34/Inputs!$B$46*AL$4</f>
      </c>
    </row>
    <row r="61">
      <c r="A61" t="str">
        <v>Revenue: Remediation Program Retainer</v>
      </c>
      <c r="B61" t="str">
        <v>rev_retainer</v>
      </c>
      <c r="C61" s="1">
        <f>IF(C$26&gt;0,C$46*C$27/C$26,0)*C$4</f>
      </c>
      <c r="D61" s="1">
        <f>IF(D$26&gt;0,D$46*D$27/D$26,0)*D$4</f>
      </c>
      <c r="E61" s="1">
        <f>IF(E$26&gt;0,E$46*E$27/E$26,0)*E$4</f>
      </c>
      <c r="F61" s="1">
        <f>IF(F$26&gt;0,F$46*F$27/F$26,0)*F$4</f>
      </c>
      <c r="G61" s="1">
        <f>IF(G$26&gt;0,G$46*G$27/G$26,0)*G$4</f>
      </c>
      <c r="H61" s="1">
        <f>IF(H$26&gt;0,H$46*H$27/H$26,0)*H$4</f>
      </c>
      <c r="I61" s="1">
        <f>IF(I$26&gt;0,I$46*I$27/I$26,0)*I$4</f>
      </c>
      <c r="J61" s="1">
        <f>IF(J$26&gt;0,J$46*J$27/J$26,0)*J$4</f>
      </c>
      <c r="K61" s="1">
        <f>IF(K$26&gt;0,K$46*K$27/K$26,0)*K$4</f>
      </c>
      <c r="L61" s="1">
        <f>IF(L$26&gt;0,L$46*L$27/L$26,0)*L$4</f>
      </c>
      <c r="M61" s="1">
        <f>IF(M$26&gt;0,M$46*M$27/M$26,0)*M$4</f>
      </c>
      <c r="N61" s="1">
        <f>IF(N$26&gt;0,N$46*N$27/N$26,0)*N$4</f>
      </c>
      <c r="O61" s="1">
        <f>IF(O$26&gt;0,O$46*O$27/O$26,0)*O$4</f>
      </c>
      <c r="P61" s="1">
        <f>IF(P$26&gt;0,P$46*P$27/P$26,0)*P$4</f>
      </c>
      <c r="Q61" s="1">
        <f>IF(Q$26&gt;0,Q$46*Q$27/Q$26,0)*Q$4</f>
      </c>
      <c r="R61" s="1">
        <f>IF(R$26&gt;0,R$46*R$27/R$26,0)*R$4</f>
      </c>
      <c r="S61" s="1">
        <f>IF(S$26&gt;0,S$46*S$27/S$26,0)*S$4</f>
      </c>
      <c r="T61" s="1">
        <f>IF(T$26&gt;0,T$46*T$27/T$26,0)*T$4</f>
      </c>
      <c r="U61" s="1">
        <f>IF(U$26&gt;0,U$46*U$27/U$26,0)*U$4</f>
      </c>
      <c r="V61" s="1">
        <f>IF(V$26&gt;0,V$46*V$27/V$26,0)*V$4</f>
      </c>
      <c r="W61" s="1">
        <f>IF(W$26&gt;0,W$46*W$27/W$26,0)*W$4</f>
      </c>
      <c r="X61" s="1">
        <f>IF(X$26&gt;0,X$46*X$27/X$26,0)*X$4</f>
      </c>
      <c r="Y61" s="1">
        <f>IF(Y$26&gt;0,Y$46*Y$27/Y$26,0)*Y$4</f>
      </c>
      <c r="Z61" s="1">
        <f>IF(Z$26&gt;0,Z$46*Z$27/Z$26,0)*Z$4</f>
      </c>
      <c r="AA61" s="1">
        <f>IF(AA$26&gt;0,AA$46*AA$27/AA$26,0)*AA$4</f>
      </c>
      <c r="AB61" s="1">
        <f>IF(AB$26&gt;0,AB$46*AB$27/AB$26,0)*AB$4</f>
      </c>
      <c r="AC61" s="1">
        <f>IF(AC$26&gt;0,AC$46*AC$27/AC$26,0)*AC$4</f>
      </c>
      <c r="AD61" s="1">
        <f>IF(AD$26&gt;0,AD$46*AD$27/AD$26,0)*AD$4</f>
      </c>
      <c r="AE61" s="1">
        <f>IF(AE$26&gt;0,AE$46*AE$27/AE$26,0)*AE$4</f>
      </c>
      <c r="AF61" s="1">
        <f>IF(AF$26&gt;0,AF$46*AF$27/AF$26,0)*AF$4</f>
      </c>
      <c r="AG61" s="1">
        <f>IF(AG$26&gt;0,AG$46*AG$27/AG$26,0)*AG$4</f>
      </c>
      <c r="AH61" s="1">
        <f>IF(AH$26&gt;0,AH$46*AH$27/AH$26,0)*AH$4</f>
      </c>
      <c r="AI61" s="1">
        <f>IF(AI$26&gt;0,AI$46*AI$27/AI$26,0)*AI$4</f>
      </c>
      <c r="AJ61" s="1">
        <f>IF(AJ$26&gt;0,AJ$46*AJ$27/AJ$26,0)*AJ$4</f>
      </c>
      <c r="AK61" s="1">
        <f>IF(AK$26&gt;0,AK$46*AK$27/AK$26,0)*AK$4</f>
      </c>
      <c r="AL61" s="1">
        <f>IF(AL$26&gt;0,AL$46*AL$27/AL$26,0)*AL$4</f>
      </c>
    </row>
    <row r="62">
      <c r="A62" t="str">
        <v>Revenue: Board Readout &amp; Insurance Attestation</v>
      </c>
      <c r="B62" t="str">
        <v>rev_board</v>
      </c>
      <c r="C62" s="1">
        <f>C$47*Inputs!$B$38/Inputs!$B$50*C$4</f>
      </c>
      <c r="D62" s="1">
        <f>D$47*Inputs!$B$38/Inputs!$B$50*D$4</f>
      </c>
      <c r="E62" s="1">
        <f>E$47*Inputs!$B$38/Inputs!$B$50*E$4</f>
      </c>
      <c r="F62" s="1">
        <f>F$47*Inputs!$B$38/Inputs!$B$50*F$4</f>
      </c>
      <c r="G62" s="1">
        <f>G$47*Inputs!$B$38/Inputs!$B$50*G$4</f>
      </c>
      <c r="H62" s="1">
        <f>H$47*Inputs!$B$38/Inputs!$B$50*H$4</f>
      </c>
      <c r="I62" s="1">
        <f>I$47*Inputs!$B$38/Inputs!$B$50*I$4</f>
      </c>
      <c r="J62" s="1">
        <f>J$47*Inputs!$B$38/Inputs!$B$50*J$4</f>
      </c>
      <c r="K62" s="1">
        <f>K$47*Inputs!$B$38/Inputs!$B$50*K$4</f>
      </c>
      <c r="L62" s="1">
        <f>L$47*Inputs!$B$38/Inputs!$B$50*L$4</f>
      </c>
      <c r="M62" s="1">
        <f>M$47*Inputs!$B$38/Inputs!$B$50*M$4</f>
      </c>
      <c r="N62" s="1">
        <f>N$47*Inputs!$B$38/Inputs!$B$50*N$4</f>
      </c>
      <c r="O62" s="1">
        <f>O$47*Inputs!$B$38/Inputs!$B$50*O$4</f>
      </c>
      <c r="P62" s="1">
        <f>P$47*Inputs!$B$38/Inputs!$B$50*P$4</f>
      </c>
      <c r="Q62" s="1">
        <f>Q$47*Inputs!$B$38/Inputs!$B$50*Q$4</f>
      </c>
      <c r="R62" s="1">
        <f>R$47*Inputs!$B$38/Inputs!$B$50*R$4</f>
      </c>
      <c r="S62" s="1">
        <f>S$47*Inputs!$B$38/Inputs!$B$50*S$4</f>
      </c>
      <c r="T62" s="1">
        <f>T$47*Inputs!$B$38/Inputs!$B$50*T$4</f>
      </c>
      <c r="U62" s="1">
        <f>U$47*Inputs!$B$38/Inputs!$B$50*U$4</f>
      </c>
      <c r="V62" s="1">
        <f>V$47*Inputs!$B$38/Inputs!$B$50*V$4</f>
      </c>
      <c r="W62" s="1">
        <f>W$47*Inputs!$B$38/Inputs!$B$50*W$4</f>
      </c>
      <c r="X62" s="1">
        <f>X$47*Inputs!$B$38/Inputs!$B$50*X$4</f>
      </c>
      <c r="Y62" s="1">
        <f>Y$47*Inputs!$B$38/Inputs!$B$50*Y$4</f>
      </c>
      <c r="Z62" s="1">
        <f>Z$47*Inputs!$B$38/Inputs!$B$50*Z$4</f>
      </c>
      <c r="AA62" s="1">
        <f>AA$47*Inputs!$B$38/Inputs!$B$50*AA$4</f>
      </c>
      <c r="AB62" s="1">
        <f>AB$47*Inputs!$B$38/Inputs!$B$50*AB$4</f>
      </c>
      <c r="AC62" s="1">
        <f>AC$47*Inputs!$B$38/Inputs!$B$50*AC$4</f>
      </c>
      <c r="AD62" s="1">
        <f>AD$47*Inputs!$B$38/Inputs!$B$50*AD$4</f>
      </c>
      <c r="AE62" s="1">
        <f>AE$47*Inputs!$B$38/Inputs!$B$50*AE$4</f>
      </c>
      <c r="AF62" s="1">
        <f>AF$47*Inputs!$B$38/Inputs!$B$50*AF$4</f>
      </c>
      <c r="AG62" s="1">
        <f>AG$47*Inputs!$B$38/Inputs!$B$50*AG$4</f>
      </c>
      <c r="AH62" s="1">
        <f>AH$47*Inputs!$B$38/Inputs!$B$50*AH$4</f>
      </c>
      <c r="AI62" s="1">
        <f>AI$47*Inputs!$B$38/Inputs!$B$50*AI$4</f>
      </c>
      <c r="AJ62" s="1">
        <f>AJ$47*Inputs!$B$38/Inputs!$B$50*AJ$4</f>
      </c>
      <c r="AK62" s="1">
        <f>AK$47*Inputs!$B$38/Inputs!$B$50*AK$4</f>
      </c>
      <c r="AL62" s="1">
        <f>AL$47*Inputs!$B$38/Inputs!$B$50*AL$4</f>
      </c>
    </row>
    <row r="63">
      <c r="A63" t="str">
        <v>Revenue: Falcon Complete Continuous-Remediation Add-on</v>
      </c>
      <c r="B63" t="str">
        <v>rev_fcAddon</v>
      </c>
      <c r="C63" s="1">
        <f>C$25*Inputs!$B$39*C$4</f>
      </c>
      <c r="D63" s="1">
        <f>D$25*Inputs!$B$39*D$4</f>
      </c>
      <c r="E63" s="1">
        <f>E$25*Inputs!$B$39*E$4</f>
      </c>
      <c r="F63" s="1">
        <f>F$25*Inputs!$B$39*F$4</f>
      </c>
      <c r="G63" s="1">
        <f>G$25*Inputs!$B$39*G$4</f>
      </c>
      <c r="H63" s="1">
        <f>H$25*Inputs!$B$39*H$4</f>
      </c>
      <c r="I63" s="1">
        <f>I$25*Inputs!$B$39*I$4</f>
      </c>
      <c r="J63" s="1">
        <f>J$25*Inputs!$B$39*J$4</f>
      </c>
      <c r="K63" s="1">
        <f>K$25*Inputs!$B$39*K$4</f>
      </c>
      <c r="L63" s="1">
        <f>L$25*Inputs!$B$39*L$4</f>
      </c>
      <c r="M63" s="1">
        <f>M$25*Inputs!$B$39*M$4</f>
      </c>
      <c r="N63" s="1">
        <f>N$25*Inputs!$B$39*N$4</f>
      </c>
      <c r="O63" s="1">
        <f>O$25*Inputs!$B$39*O$4</f>
      </c>
      <c r="P63" s="1">
        <f>P$25*Inputs!$B$39*P$4</f>
      </c>
      <c r="Q63" s="1">
        <f>Q$25*Inputs!$B$39*Q$4</f>
      </c>
      <c r="R63" s="1">
        <f>R$25*Inputs!$B$39*R$4</f>
      </c>
      <c r="S63" s="1">
        <f>S$25*Inputs!$B$39*S$4</f>
      </c>
      <c r="T63" s="1">
        <f>T$25*Inputs!$B$39*T$4</f>
      </c>
      <c r="U63" s="1">
        <f>U$25*Inputs!$B$39*U$4</f>
      </c>
      <c r="V63" s="1">
        <f>V$25*Inputs!$B$39*V$4</f>
      </c>
      <c r="W63" s="1">
        <f>W$25*Inputs!$B$39*W$4</f>
      </c>
      <c r="X63" s="1">
        <f>X$25*Inputs!$B$39*X$4</f>
      </c>
      <c r="Y63" s="1">
        <f>Y$25*Inputs!$B$39*Y$4</f>
      </c>
      <c r="Z63" s="1">
        <f>Z$25*Inputs!$B$39*Z$4</f>
      </c>
      <c r="AA63" s="1">
        <f>AA$25*Inputs!$B$39*AA$4</f>
      </c>
      <c r="AB63" s="1">
        <f>AB$25*Inputs!$B$39*AB$4</f>
      </c>
      <c r="AC63" s="1">
        <f>AC$25*Inputs!$B$39*AC$4</f>
      </c>
      <c r="AD63" s="1">
        <f>AD$25*Inputs!$B$39*AD$4</f>
      </c>
      <c r="AE63" s="1">
        <f>AE$25*Inputs!$B$39*AE$4</f>
      </c>
      <c r="AF63" s="1">
        <f>AF$25*Inputs!$B$39*AF$4</f>
      </c>
      <c r="AG63" s="1">
        <f>AG$25*Inputs!$B$39*AG$4</f>
      </c>
      <c r="AH63" s="1">
        <f>AH$25*Inputs!$B$39*AH$4</f>
      </c>
      <c r="AI63" s="1">
        <f>AI$25*Inputs!$B$39*AI$4</f>
      </c>
      <c r="AJ63" s="1">
        <f>AJ$25*Inputs!$B$39*AJ$4</f>
      </c>
      <c r="AK63" s="1">
        <f>AK$25*Inputs!$B$39*AK$4</f>
      </c>
      <c r="AL63" s="1">
        <f>AL$25*Inputs!$B$39*AL$4</f>
      </c>
    </row>
    <row r="64">
      <c r="A64" t="str">
        <v>Gross revenue</v>
      </c>
      <c r="B64" t="str">
        <v>grossRevenue</v>
      </c>
      <c r="C64" s="1">
        <f>C$59+C$60+C$61+C$62+C$63</f>
      </c>
      <c r="D64" s="1">
        <f>D$59+D$60+D$61+D$62+D$63</f>
      </c>
      <c r="E64" s="1">
        <f>E$59+E$60+E$61+E$62+E$63</f>
      </c>
      <c r="F64" s="1">
        <f>F$59+F$60+F$61+F$62+F$63</f>
      </c>
      <c r="G64" s="1">
        <f>G$59+G$60+G$61+G$62+G$63</f>
      </c>
      <c r="H64" s="1">
        <f>H$59+H$60+H$61+H$62+H$63</f>
      </c>
      <c r="I64" s="1">
        <f>I$59+I$60+I$61+I$62+I$63</f>
      </c>
      <c r="J64" s="1">
        <f>J$59+J$60+J$61+J$62+J$63</f>
      </c>
      <c r="K64" s="1">
        <f>K$59+K$60+K$61+K$62+K$63</f>
      </c>
      <c r="L64" s="1">
        <f>L$59+L$60+L$61+L$62+L$63</f>
      </c>
      <c r="M64" s="1">
        <f>M$59+M$60+M$61+M$62+M$63</f>
      </c>
      <c r="N64" s="1">
        <f>N$59+N$60+N$61+N$62+N$63</f>
      </c>
      <c r="O64" s="1">
        <f>O$59+O$60+O$61+O$62+O$63</f>
      </c>
      <c r="P64" s="1">
        <f>P$59+P$60+P$61+P$62+P$63</f>
      </c>
      <c r="Q64" s="1">
        <f>Q$59+Q$60+Q$61+Q$62+Q$63</f>
      </c>
      <c r="R64" s="1">
        <f>R$59+R$60+R$61+R$62+R$63</f>
      </c>
      <c r="S64" s="1">
        <f>S$59+S$60+S$61+S$62+S$63</f>
      </c>
      <c r="T64" s="1">
        <f>T$59+T$60+T$61+T$62+T$63</f>
      </c>
      <c r="U64" s="1">
        <f>U$59+U$60+U$61+U$62+U$63</f>
      </c>
      <c r="V64" s="1">
        <f>V$59+V$60+V$61+V$62+V$63</f>
      </c>
      <c r="W64" s="1">
        <f>W$59+W$60+W$61+W$62+W$63</f>
      </c>
      <c r="X64" s="1">
        <f>X$59+X$60+X$61+X$62+X$63</f>
      </c>
      <c r="Y64" s="1">
        <f>Y$59+Y$60+Y$61+Y$62+Y$63</f>
      </c>
      <c r="Z64" s="1">
        <f>Z$59+Z$60+Z$61+Z$62+Z$63</f>
      </c>
      <c r="AA64" s="1">
        <f>AA$59+AA$60+AA$61+AA$62+AA$63</f>
      </c>
      <c r="AB64" s="1">
        <f>AB$59+AB$60+AB$61+AB$62+AB$63</f>
      </c>
      <c r="AC64" s="1">
        <f>AC$59+AC$60+AC$61+AC$62+AC$63</f>
      </c>
      <c r="AD64" s="1">
        <f>AD$59+AD$60+AD$61+AD$62+AD$63</f>
      </c>
      <c r="AE64" s="1">
        <f>AE$59+AE$60+AE$61+AE$62+AE$63</f>
      </c>
      <c r="AF64" s="1">
        <f>AF$59+AF$60+AF$61+AF$62+AF$63</f>
      </c>
      <c r="AG64" s="1">
        <f>AG$59+AG$60+AG$61+AG$62+AG$63</f>
      </c>
      <c r="AH64" s="1">
        <f>AH$59+AH$60+AH$61+AH$62+AH$63</f>
      </c>
      <c r="AI64" s="1">
        <f>AI$59+AI$60+AI$61+AI$62+AI$63</f>
      </c>
      <c r="AJ64" s="1">
        <f>AJ$59+AJ$60+AJ$61+AJ$62+AJ$63</f>
      </c>
      <c r="AK64" s="1">
        <f>AK$59+AK$60+AK$61+AK$62+AK$63</f>
      </c>
      <c r="AL64" s="1">
        <f>AL$59+AL$60+AL$61+AL$62+AL$63</f>
      </c>
    </row>
    <row r="65">
      <c r="A65" t="str">
        <v>Falcon Flex program margin (ASSUMPTION)</v>
      </c>
      <c r="B65" t="str">
        <v>flexMargin</v>
      </c>
      <c r="C65" s="1">
        <f>C$64*Inputs!$B$41*Inputs!$B$42</f>
      </c>
      <c r="D65" s="1">
        <f>D$64*Inputs!$B$41*Inputs!$B$42</f>
      </c>
      <c r="E65" s="1">
        <f>E$64*Inputs!$B$41*Inputs!$B$42</f>
      </c>
      <c r="F65" s="1">
        <f>F$64*Inputs!$B$41*Inputs!$B$42</f>
      </c>
      <c r="G65" s="1">
        <f>G$64*Inputs!$B$41*Inputs!$B$42</f>
      </c>
      <c r="H65" s="1">
        <f>H$64*Inputs!$B$41*Inputs!$B$42</f>
      </c>
      <c r="I65" s="1">
        <f>I$64*Inputs!$B$41*Inputs!$B$42</f>
      </c>
      <c r="J65" s="1">
        <f>J$64*Inputs!$B$41*Inputs!$B$42</f>
      </c>
      <c r="K65" s="1">
        <f>K$64*Inputs!$B$41*Inputs!$B$42</f>
      </c>
      <c r="L65" s="1">
        <f>L$64*Inputs!$B$41*Inputs!$B$42</f>
      </c>
      <c r="M65" s="1">
        <f>M$64*Inputs!$B$41*Inputs!$B$42</f>
      </c>
      <c r="N65" s="1">
        <f>N$64*Inputs!$B$41*Inputs!$B$42</f>
      </c>
      <c r="O65" s="1">
        <f>O$64*Inputs!$B$41*Inputs!$B$42</f>
      </c>
      <c r="P65" s="1">
        <f>P$64*Inputs!$B$41*Inputs!$B$42</f>
      </c>
      <c r="Q65" s="1">
        <f>Q$64*Inputs!$B$41*Inputs!$B$42</f>
      </c>
      <c r="R65" s="1">
        <f>R$64*Inputs!$B$41*Inputs!$B$42</f>
      </c>
      <c r="S65" s="1">
        <f>S$64*Inputs!$B$41*Inputs!$B$42</f>
      </c>
      <c r="T65" s="1">
        <f>T$64*Inputs!$B$41*Inputs!$B$42</f>
      </c>
      <c r="U65" s="1">
        <f>U$64*Inputs!$B$41*Inputs!$B$42</f>
      </c>
      <c r="V65" s="1">
        <f>V$64*Inputs!$B$41*Inputs!$B$42</f>
      </c>
      <c r="W65" s="1">
        <f>W$64*Inputs!$B$41*Inputs!$B$42</f>
      </c>
      <c r="X65" s="1">
        <f>X$64*Inputs!$B$41*Inputs!$B$42</f>
      </c>
      <c r="Y65" s="1">
        <f>Y$64*Inputs!$B$41*Inputs!$B$42</f>
      </c>
      <c r="Z65" s="1">
        <f>Z$64*Inputs!$B$41*Inputs!$B$42</f>
      </c>
      <c r="AA65" s="1">
        <f>AA$64*Inputs!$B$41*Inputs!$B$42</f>
      </c>
      <c r="AB65" s="1">
        <f>AB$64*Inputs!$B$41*Inputs!$B$42</f>
      </c>
      <c r="AC65" s="1">
        <f>AC$64*Inputs!$B$41*Inputs!$B$42</f>
      </c>
      <c r="AD65" s="1">
        <f>AD$64*Inputs!$B$41*Inputs!$B$42</f>
      </c>
      <c r="AE65" s="1">
        <f>AE$64*Inputs!$B$41*Inputs!$B$42</f>
      </c>
      <c r="AF65" s="1">
        <f>AF$64*Inputs!$B$41*Inputs!$B$42</f>
      </c>
      <c r="AG65" s="1">
        <f>AG$64*Inputs!$B$41*Inputs!$B$42</f>
      </c>
      <c r="AH65" s="1">
        <f>AH$64*Inputs!$B$41*Inputs!$B$42</f>
      </c>
      <c r="AI65" s="1">
        <f>AI$64*Inputs!$B$41*Inputs!$B$42</f>
      </c>
      <c r="AJ65" s="1">
        <f>AJ$64*Inputs!$B$41*Inputs!$B$42</f>
      </c>
      <c r="AK65" s="1">
        <f>AK$64*Inputs!$B$41*Inputs!$B$42</f>
      </c>
      <c r="AL65" s="1">
        <f>AL$64*Inputs!$B$41*Inputs!$B$42</f>
      </c>
    </row>
    <row r="66">
      <c r="A66" t="str">
        <v>Net revenue</v>
      </c>
      <c r="B66" t="str">
        <v>netRevenue</v>
      </c>
      <c r="C66" s="1">
        <f>C$64-C$65</f>
      </c>
      <c r="D66" s="1">
        <f>D$64-D$65</f>
      </c>
      <c r="E66" s="1">
        <f>E$64-E$65</f>
      </c>
      <c r="F66" s="1">
        <f>F$64-F$65</f>
      </c>
      <c r="G66" s="1">
        <f>G$64-G$65</f>
      </c>
      <c r="H66" s="1">
        <f>H$64-H$65</f>
      </c>
      <c r="I66" s="1">
        <f>I$64-I$65</f>
      </c>
      <c r="J66" s="1">
        <f>J$64-J$65</f>
      </c>
      <c r="K66" s="1">
        <f>K$64-K$65</f>
      </c>
      <c r="L66" s="1">
        <f>L$64-L$65</f>
      </c>
      <c r="M66" s="1">
        <f>M$64-M$65</f>
      </c>
      <c r="N66" s="1">
        <f>N$64-N$65</f>
      </c>
      <c r="O66" s="1">
        <f>O$64-O$65</f>
      </c>
      <c r="P66" s="1">
        <f>P$64-P$65</f>
      </c>
      <c r="Q66" s="1">
        <f>Q$64-Q$65</f>
      </c>
      <c r="R66" s="1">
        <f>R$64-R$65</f>
      </c>
      <c r="S66" s="1">
        <f>S$64-S$65</f>
      </c>
      <c r="T66" s="1">
        <f>T$64-T$65</f>
      </c>
      <c r="U66" s="1">
        <f>U$64-U$65</f>
      </c>
      <c r="V66" s="1">
        <f>V$64-V$65</f>
      </c>
      <c r="W66" s="1">
        <f>W$64-W$65</f>
      </c>
      <c r="X66" s="1">
        <f>X$64-X$65</f>
      </c>
      <c r="Y66" s="1">
        <f>Y$64-Y$65</f>
      </c>
      <c r="Z66" s="1">
        <f>Z$64-Z$65</f>
      </c>
      <c r="AA66" s="1">
        <f>AA$64-AA$65</f>
      </c>
      <c r="AB66" s="1">
        <f>AB$64-AB$65</f>
      </c>
      <c r="AC66" s="1">
        <f>AC$64-AC$65</f>
      </c>
      <c r="AD66" s="1">
        <f>AD$64-AD$65</f>
      </c>
      <c r="AE66" s="1">
        <f>AE$64-AE$65</f>
      </c>
      <c r="AF66" s="1">
        <f>AF$64-AF$65</f>
      </c>
      <c r="AG66" s="1">
        <f>AG$64-AG$65</f>
      </c>
      <c r="AH66" s="1">
        <f>AH$64-AH$65</f>
      </c>
      <c r="AI66" s="1">
        <f>AI$64-AI$65</f>
      </c>
      <c r="AJ66" s="1">
        <f>AJ$64-AJ$65</f>
      </c>
      <c r="AK66" s="1">
        <f>AK$64-AK$65</f>
      </c>
      <c r="AL66" s="1">
        <f>AL$64-AL$65</f>
      </c>
    </row>
    <row r="67">
      <c r="A67" t="str">
        <v>Advisor labor (loaded)</v>
      </c>
      <c r="B67" t="str">
        <v>advisorLabor</v>
      </c>
      <c r="C67" s="1">
        <f>(C$8*Inputs!$B$3+C$9*Inputs!$B$4)/12</f>
      </c>
      <c r="D67" s="1">
        <f>(D$8*Inputs!$B$3+D$9*Inputs!$B$4)/12</f>
      </c>
      <c r="E67" s="1">
        <f>(E$8*Inputs!$B$3+E$9*Inputs!$B$4)/12</f>
      </c>
      <c r="F67" s="1">
        <f>(F$8*Inputs!$B$3+F$9*Inputs!$B$4)/12</f>
      </c>
      <c r="G67" s="1">
        <f>(G$8*Inputs!$B$3+G$9*Inputs!$B$4)/12</f>
      </c>
      <c r="H67" s="1">
        <f>(H$8*Inputs!$B$3+H$9*Inputs!$B$4)/12</f>
      </c>
      <c r="I67" s="1">
        <f>(I$8*Inputs!$B$3+I$9*Inputs!$B$4)/12</f>
      </c>
      <c r="J67" s="1">
        <f>(J$8*Inputs!$B$3+J$9*Inputs!$B$4)/12</f>
      </c>
      <c r="K67" s="1">
        <f>(K$8*Inputs!$B$3+K$9*Inputs!$B$4)/12</f>
      </c>
      <c r="L67" s="1">
        <f>(L$8*Inputs!$B$3+L$9*Inputs!$B$4)/12</f>
      </c>
      <c r="M67" s="1">
        <f>(M$8*Inputs!$B$3+M$9*Inputs!$B$4)/12</f>
      </c>
      <c r="N67" s="1">
        <f>(N$8*Inputs!$B$3+N$9*Inputs!$B$4)/12</f>
      </c>
      <c r="O67" s="1">
        <f>(O$8*Inputs!$B$3+O$9*Inputs!$B$4)/12</f>
      </c>
      <c r="P67" s="1">
        <f>(P$8*Inputs!$B$3+P$9*Inputs!$B$4)/12</f>
      </c>
      <c r="Q67" s="1">
        <f>(Q$8*Inputs!$B$3+Q$9*Inputs!$B$4)/12</f>
      </c>
      <c r="R67" s="1">
        <f>(R$8*Inputs!$B$3+R$9*Inputs!$B$4)/12</f>
      </c>
      <c r="S67" s="1">
        <f>(S$8*Inputs!$B$3+S$9*Inputs!$B$4)/12</f>
      </c>
      <c r="T67" s="1">
        <f>(T$8*Inputs!$B$3+T$9*Inputs!$B$4)/12</f>
      </c>
      <c r="U67" s="1">
        <f>(U$8*Inputs!$B$3+U$9*Inputs!$B$4)/12</f>
      </c>
      <c r="V67" s="1">
        <f>(V$8*Inputs!$B$3+V$9*Inputs!$B$4)/12</f>
      </c>
      <c r="W67" s="1">
        <f>(W$8*Inputs!$B$3+W$9*Inputs!$B$4)/12</f>
      </c>
      <c r="X67" s="1">
        <f>(X$8*Inputs!$B$3+X$9*Inputs!$B$4)/12</f>
      </c>
      <c r="Y67" s="1">
        <f>(Y$8*Inputs!$B$3+Y$9*Inputs!$B$4)/12</f>
      </c>
      <c r="Z67" s="1">
        <f>(Z$8*Inputs!$B$3+Z$9*Inputs!$B$4)/12</f>
      </c>
      <c r="AA67" s="1">
        <f>(AA$8*Inputs!$B$3+AA$9*Inputs!$B$4)/12</f>
      </c>
      <c r="AB67" s="1">
        <f>(AB$8*Inputs!$B$3+AB$9*Inputs!$B$4)/12</f>
      </c>
      <c r="AC67" s="1">
        <f>(AC$8*Inputs!$B$3+AC$9*Inputs!$B$4)/12</f>
      </c>
      <c r="AD67" s="1">
        <f>(AD$8*Inputs!$B$3+AD$9*Inputs!$B$4)/12</f>
      </c>
      <c r="AE67" s="1">
        <f>(AE$8*Inputs!$B$3+AE$9*Inputs!$B$4)/12</f>
      </c>
      <c r="AF67" s="1">
        <f>(AF$8*Inputs!$B$3+AF$9*Inputs!$B$4)/12</f>
      </c>
      <c r="AG67" s="1">
        <f>(AG$8*Inputs!$B$3+AG$9*Inputs!$B$4)/12</f>
      </c>
      <c r="AH67" s="1">
        <f>(AH$8*Inputs!$B$3+AH$9*Inputs!$B$4)/12</f>
      </c>
      <c r="AI67" s="1">
        <f>(AI$8*Inputs!$B$3+AI$9*Inputs!$B$4)/12</f>
      </c>
      <c r="AJ67" s="1">
        <f>(AJ$8*Inputs!$B$3+AJ$9*Inputs!$B$4)/12</f>
      </c>
      <c r="AK67" s="1">
        <f>(AK$8*Inputs!$B$3+AK$9*Inputs!$B$4)/12</f>
      </c>
      <c r="AL67" s="1">
        <f>(AL$8*Inputs!$B$3+AL$9*Inputs!$B$4)/12</f>
      </c>
    </row>
    <row r="68">
      <c r="A68" t="str">
        <v>Internal bench cost</v>
      </c>
      <c r="B68" t="str">
        <v>benchCost</v>
      </c>
      <c r="C68" s="1">
        <f>C$40*Inputs!$B$20</f>
      </c>
      <c r="D68" s="1">
        <f>D$40*Inputs!$B$20</f>
      </c>
      <c r="E68" s="1">
        <f>E$40*Inputs!$B$20</f>
      </c>
      <c r="F68" s="1">
        <f>F$40*Inputs!$B$20</f>
      </c>
      <c r="G68" s="1">
        <f>G$40*Inputs!$B$20</f>
      </c>
      <c r="H68" s="1">
        <f>H$40*Inputs!$B$20</f>
      </c>
      <c r="I68" s="1">
        <f>I$40*Inputs!$B$20</f>
      </c>
      <c r="J68" s="1">
        <f>J$40*Inputs!$B$20</f>
      </c>
      <c r="K68" s="1">
        <f>K$40*Inputs!$B$20</f>
      </c>
      <c r="L68" s="1">
        <f>L$40*Inputs!$B$20</f>
      </c>
      <c r="M68" s="1">
        <f>M$40*Inputs!$B$20</f>
      </c>
      <c r="N68" s="1">
        <f>N$40*Inputs!$B$20</f>
      </c>
      <c r="O68" s="1">
        <f>O$40*Inputs!$B$20</f>
      </c>
      <c r="P68" s="1">
        <f>P$40*Inputs!$B$20</f>
      </c>
      <c r="Q68" s="1">
        <f>Q$40*Inputs!$B$20</f>
      </c>
      <c r="R68" s="1">
        <f>R$40*Inputs!$B$20</f>
      </c>
      <c r="S68" s="1">
        <f>S$40*Inputs!$B$20</f>
      </c>
      <c r="T68" s="1">
        <f>T$40*Inputs!$B$20</f>
      </c>
      <c r="U68" s="1">
        <f>U$40*Inputs!$B$20</f>
      </c>
      <c r="V68" s="1">
        <f>V$40*Inputs!$B$20</f>
      </c>
      <c r="W68" s="1">
        <f>W$40*Inputs!$B$20</f>
      </c>
      <c r="X68" s="1">
        <f>X$40*Inputs!$B$20</f>
      </c>
      <c r="Y68" s="1">
        <f>Y$40*Inputs!$B$20</f>
      </c>
      <c r="Z68" s="1">
        <f>Z$40*Inputs!$B$20</f>
      </c>
      <c r="AA68" s="1">
        <f>AA$40*Inputs!$B$20</f>
      </c>
      <c r="AB68" s="1">
        <f>AB$40*Inputs!$B$20</f>
      </c>
      <c r="AC68" s="1">
        <f>AC$40*Inputs!$B$20</f>
      </c>
      <c r="AD68" s="1">
        <f>AD$40*Inputs!$B$20</f>
      </c>
      <c r="AE68" s="1">
        <f>AE$40*Inputs!$B$20</f>
      </c>
      <c r="AF68" s="1">
        <f>AF$40*Inputs!$B$20</f>
      </c>
      <c r="AG68" s="1">
        <f>AG$40*Inputs!$B$20</f>
      </c>
      <c r="AH68" s="1">
        <f>AH$40*Inputs!$B$20</f>
      </c>
      <c r="AI68" s="1">
        <f>AI$40*Inputs!$B$20</f>
      </c>
      <c r="AJ68" s="1">
        <f>AJ$40*Inputs!$B$20</f>
      </c>
      <c r="AK68" s="1">
        <f>AK$40*Inputs!$B$20</f>
      </c>
      <c r="AL68" s="1">
        <f>AL$40*Inputs!$B$20</f>
      </c>
    </row>
    <row r="69">
      <c r="A69" t="str">
        <v>FC add-on delivery cost transfer</v>
      </c>
      <c r="B69" t="str">
        <v>fcDeliveryCost</v>
      </c>
      <c r="C69" s="1">
        <f>C$63*Inputs!$B$52</f>
      </c>
      <c r="D69" s="1">
        <f>D$63*Inputs!$B$52</f>
      </c>
      <c r="E69" s="1">
        <f>E$63*Inputs!$B$52</f>
      </c>
      <c r="F69" s="1">
        <f>F$63*Inputs!$B$52</f>
      </c>
      <c r="G69" s="1">
        <f>G$63*Inputs!$B$52</f>
      </c>
      <c r="H69" s="1">
        <f>H$63*Inputs!$B$52</f>
      </c>
      <c r="I69" s="1">
        <f>I$63*Inputs!$B$52</f>
      </c>
      <c r="J69" s="1">
        <f>J$63*Inputs!$B$52</f>
      </c>
      <c r="K69" s="1">
        <f>K$63*Inputs!$B$52</f>
      </c>
      <c r="L69" s="1">
        <f>L$63*Inputs!$B$52</f>
      </c>
      <c r="M69" s="1">
        <f>M$63*Inputs!$B$52</f>
      </c>
      <c r="N69" s="1">
        <f>N$63*Inputs!$B$52</f>
      </c>
      <c r="O69" s="1">
        <f>O$63*Inputs!$B$52</f>
      </c>
      <c r="P69" s="1">
        <f>P$63*Inputs!$B$52</f>
      </c>
      <c r="Q69" s="1">
        <f>Q$63*Inputs!$B$52</f>
      </c>
      <c r="R69" s="1">
        <f>R$63*Inputs!$B$52</f>
      </c>
      <c r="S69" s="1">
        <f>S$63*Inputs!$B$52</f>
      </c>
      <c r="T69" s="1">
        <f>T$63*Inputs!$B$52</f>
      </c>
      <c r="U69" s="1">
        <f>U$63*Inputs!$B$52</f>
      </c>
      <c r="V69" s="1">
        <f>V$63*Inputs!$B$52</f>
      </c>
      <c r="W69" s="1">
        <f>W$63*Inputs!$B$52</f>
      </c>
      <c r="X69" s="1">
        <f>X$63*Inputs!$B$52</f>
      </c>
      <c r="Y69" s="1">
        <f>Y$63*Inputs!$B$52</f>
      </c>
      <c r="Z69" s="1">
        <f>Z$63*Inputs!$B$52</f>
      </c>
      <c r="AA69" s="1">
        <f>AA$63*Inputs!$B$52</f>
      </c>
      <c r="AB69" s="1">
        <f>AB$63*Inputs!$B$52</f>
      </c>
      <c r="AC69" s="1">
        <f>AC$63*Inputs!$B$52</f>
      </c>
      <c r="AD69" s="1">
        <f>AD$63*Inputs!$B$52</f>
      </c>
      <c r="AE69" s="1">
        <f>AE$63*Inputs!$B$52</f>
      </c>
      <c r="AF69" s="1">
        <f>AF$63*Inputs!$B$52</f>
      </c>
      <c r="AG69" s="1">
        <f>AG$63*Inputs!$B$52</f>
      </c>
      <c r="AH69" s="1">
        <f>AH$63*Inputs!$B$52</f>
      </c>
      <c r="AI69" s="1">
        <f>AI$63*Inputs!$B$52</f>
      </c>
      <c r="AJ69" s="1">
        <f>AJ$63*Inputs!$B$52</f>
      </c>
      <c r="AK69" s="1">
        <f>AK$63*Inputs!$B$52</f>
      </c>
      <c r="AL69" s="1">
        <f>AL$63*Inputs!$B$52</f>
      </c>
    </row>
    <row r="70">
      <c r="A70" t="str">
        <v>Direct cost</v>
      </c>
      <c r="B70" t="str">
        <v>directCost</v>
      </c>
      <c r="C70" s="1">
        <f>C$67+C$68+C$69</f>
      </c>
      <c r="D70" s="1">
        <f>D$67+D$68+D$69</f>
      </c>
      <c r="E70" s="1">
        <f>E$67+E$68+E$69</f>
      </c>
      <c r="F70" s="1">
        <f>F$67+F$68+F$69</f>
      </c>
      <c r="G70" s="1">
        <f>G$67+G$68+G$69</f>
      </c>
      <c r="H70" s="1">
        <f>H$67+H$68+H$69</f>
      </c>
      <c r="I70" s="1">
        <f>I$67+I$68+I$69</f>
      </c>
      <c r="J70" s="1">
        <f>J$67+J$68+J$69</f>
      </c>
      <c r="K70" s="1">
        <f>K$67+K$68+K$69</f>
      </c>
      <c r="L70" s="1">
        <f>L$67+L$68+L$69</f>
      </c>
      <c r="M70" s="1">
        <f>M$67+M$68+M$69</f>
      </c>
      <c r="N70" s="1">
        <f>N$67+N$68+N$69</f>
      </c>
      <c r="O70" s="1">
        <f>O$67+O$68+O$69</f>
      </c>
      <c r="P70" s="1">
        <f>P$67+P$68+P$69</f>
      </c>
      <c r="Q70" s="1">
        <f>Q$67+Q$68+Q$69</f>
      </c>
      <c r="R70" s="1">
        <f>R$67+R$68+R$69</f>
      </c>
      <c r="S70" s="1">
        <f>S$67+S$68+S$69</f>
      </c>
      <c r="T70" s="1">
        <f>T$67+T$68+T$69</f>
      </c>
      <c r="U70" s="1">
        <f>U$67+U$68+U$69</f>
      </c>
      <c r="V70" s="1">
        <f>V$67+V$68+V$69</f>
      </c>
      <c r="W70" s="1">
        <f>W$67+W$68+W$69</f>
      </c>
      <c r="X70" s="1">
        <f>X$67+X$68+X$69</f>
      </c>
      <c r="Y70" s="1">
        <f>Y$67+Y$68+Y$69</f>
      </c>
      <c r="Z70" s="1">
        <f>Z$67+Z$68+Z$69</f>
      </c>
      <c r="AA70" s="1">
        <f>AA$67+AA$68+AA$69</f>
      </c>
      <c r="AB70" s="1">
        <f>AB$67+AB$68+AB$69</f>
      </c>
      <c r="AC70" s="1">
        <f>AC$67+AC$68+AC$69</f>
      </c>
      <c r="AD70" s="1">
        <f>AD$67+AD$68+AD$69</f>
      </c>
      <c r="AE70" s="1">
        <f>AE$67+AE$68+AE$69</f>
      </c>
      <c r="AF70" s="1">
        <f>AF$67+AF$68+AF$69</f>
      </c>
      <c r="AG70" s="1">
        <f>AG$67+AG$68+AG$69</f>
      </c>
      <c r="AH70" s="1">
        <f>AH$67+AH$68+AH$69</f>
      </c>
      <c r="AI70" s="1">
        <f>AI$67+AI$68+AI$69</f>
      </c>
      <c r="AJ70" s="1">
        <f>AJ$67+AJ$68+AJ$69</f>
      </c>
      <c r="AK70" s="1">
        <f>AK$67+AK$68+AK$69</f>
      </c>
      <c r="AL70" s="1">
        <f>AL$67+AL$68+AL$69</f>
      </c>
    </row>
    <row r="71">
      <c r="A71" t="str">
        <v>Gross margin</v>
      </c>
      <c r="B71" t="str">
        <v>grossMargin</v>
      </c>
      <c r="C71" s="1">
        <f>C$66-C$70</f>
      </c>
      <c r="D71" s="1">
        <f>D$66-D$70</f>
      </c>
      <c r="E71" s="1">
        <f>E$66-E$70</f>
      </c>
      <c r="F71" s="1">
        <f>F$66-F$70</f>
      </c>
      <c r="G71" s="1">
        <f>G$66-G$70</f>
      </c>
      <c r="H71" s="1">
        <f>H$66-H$70</f>
      </c>
      <c r="I71" s="1">
        <f>I$66-I$70</f>
      </c>
      <c r="J71" s="1">
        <f>J$66-J$70</f>
      </c>
      <c r="K71" s="1">
        <f>K$66-K$70</f>
      </c>
      <c r="L71" s="1">
        <f>L$66-L$70</f>
      </c>
      <c r="M71" s="1">
        <f>M$66-M$70</f>
      </c>
      <c r="N71" s="1">
        <f>N$66-N$70</f>
      </c>
      <c r="O71" s="1">
        <f>O$66-O$70</f>
      </c>
      <c r="P71" s="1">
        <f>P$66-P$70</f>
      </c>
      <c r="Q71" s="1">
        <f>Q$66-Q$70</f>
      </c>
      <c r="R71" s="1">
        <f>R$66-R$70</f>
      </c>
      <c r="S71" s="1">
        <f>S$66-S$70</f>
      </c>
      <c r="T71" s="1">
        <f>T$66-T$70</f>
      </c>
      <c r="U71" s="1">
        <f>U$66-U$70</f>
      </c>
      <c r="V71" s="1">
        <f>V$66-V$70</f>
      </c>
      <c r="W71" s="1">
        <f>W$66-W$70</f>
      </c>
      <c r="X71" s="1">
        <f>X$66-X$70</f>
      </c>
      <c r="Y71" s="1">
        <f>Y$66-Y$70</f>
      </c>
      <c r="Z71" s="1">
        <f>Z$66-Z$70</f>
      </c>
      <c r="AA71" s="1">
        <f>AA$66-AA$70</f>
      </c>
      <c r="AB71" s="1">
        <f>AB$66-AB$70</f>
      </c>
      <c r="AC71" s="1">
        <f>AC$66-AC$70</f>
      </c>
      <c r="AD71" s="1">
        <f>AD$66-AD$70</f>
      </c>
      <c r="AE71" s="1">
        <f>AE$66-AE$70</f>
      </c>
      <c r="AF71" s="1">
        <f>AF$66-AF$70</f>
      </c>
      <c r="AG71" s="1">
        <f>AG$66-AG$70</f>
      </c>
      <c r="AH71" s="1">
        <f>AH$66-AH$70</f>
      </c>
      <c r="AI71" s="1">
        <f>AI$66-AI$70</f>
      </c>
      <c r="AJ71" s="1">
        <f>AJ$66-AJ$70</f>
      </c>
      <c r="AK71" s="1">
        <f>AK$66-AK$70</f>
      </c>
      <c r="AL71" s="1">
        <f>AL$66-AL$70</f>
      </c>
    </row>
    <row r="72">
      <c r="A72" t="str">
        <v>Gross margin %</v>
      </c>
      <c r="B72" t="str">
        <v>grossMarginPct</v>
      </c>
      <c r="C72" s="3">
        <f>IF(C$66&gt;0.000000001,C$71/C$66,0)</f>
      </c>
      <c r="D72" s="3">
        <f>IF(D$66&gt;0.000000001,D$71/D$66,0)</f>
      </c>
      <c r="E72" s="3">
        <f>IF(E$66&gt;0.000000001,E$71/E$66,0)</f>
      </c>
      <c r="F72" s="3">
        <f>IF(F$66&gt;0.000000001,F$71/F$66,0)</f>
      </c>
      <c r="G72" s="3">
        <f>IF(G$66&gt;0.000000001,G$71/G$66,0)</f>
      </c>
      <c r="H72" s="3">
        <f>IF(H$66&gt;0.000000001,H$71/H$66,0)</f>
      </c>
      <c r="I72" s="3">
        <f>IF(I$66&gt;0.000000001,I$71/I$66,0)</f>
      </c>
      <c r="J72" s="3">
        <f>IF(J$66&gt;0.000000001,J$71/J$66,0)</f>
      </c>
      <c r="K72" s="3">
        <f>IF(K$66&gt;0.000000001,K$71/K$66,0)</f>
      </c>
      <c r="L72" s="3">
        <f>IF(L$66&gt;0.000000001,L$71/L$66,0)</f>
      </c>
      <c r="M72" s="3">
        <f>IF(M$66&gt;0.000000001,M$71/M$66,0)</f>
      </c>
      <c r="N72" s="3">
        <f>IF(N$66&gt;0.000000001,N$71/N$66,0)</f>
      </c>
      <c r="O72" s="3">
        <f>IF(O$66&gt;0.000000001,O$71/O$66,0)</f>
      </c>
      <c r="P72" s="3">
        <f>IF(P$66&gt;0.000000001,P$71/P$66,0)</f>
      </c>
      <c r="Q72" s="3">
        <f>IF(Q$66&gt;0.000000001,Q$71/Q$66,0)</f>
      </c>
      <c r="R72" s="3">
        <f>IF(R$66&gt;0.000000001,R$71/R$66,0)</f>
      </c>
      <c r="S72" s="3">
        <f>IF(S$66&gt;0.000000001,S$71/S$66,0)</f>
      </c>
      <c r="T72" s="3">
        <f>IF(T$66&gt;0.000000001,T$71/T$66,0)</f>
      </c>
      <c r="U72" s="3">
        <f>IF(U$66&gt;0.000000001,U$71/U$66,0)</f>
      </c>
      <c r="V72" s="3">
        <f>IF(V$66&gt;0.000000001,V$71/V$66,0)</f>
      </c>
      <c r="W72" s="3">
        <f>IF(W$66&gt;0.000000001,W$71/W$66,0)</f>
      </c>
      <c r="X72" s="3">
        <f>IF(X$66&gt;0.000000001,X$71/X$66,0)</f>
      </c>
      <c r="Y72" s="3">
        <f>IF(Y$66&gt;0.000000001,Y$71/Y$66,0)</f>
      </c>
      <c r="Z72" s="3">
        <f>IF(Z$66&gt;0.000000001,Z$71/Z$66,0)</f>
      </c>
      <c r="AA72" s="3">
        <f>IF(AA$66&gt;0.000000001,AA$71/AA$66,0)</f>
      </c>
      <c r="AB72" s="3">
        <f>IF(AB$66&gt;0.000000001,AB$71/AB$66,0)</f>
      </c>
      <c r="AC72" s="3">
        <f>IF(AC$66&gt;0.000000001,AC$71/AC$66,0)</f>
      </c>
      <c r="AD72" s="3">
        <f>IF(AD$66&gt;0.000000001,AD$71/AD$66,0)</f>
      </c>
      <c r="AE72" s="3">
        <f>IF(AE$66&gt;0.000000001,AE$71/AE$66,0)</f>
      </c>
      <c r="AF72" s="3">
        <f>IF(AF$66&gt;0.000000001,AF$71/AF$66,0)</f>
      </c>
      <c r="AG72" s="3">
        <f>IF(AG$66&gt;0.000000001,AG$71/AG$66,0)</f>
      </c>
      <c r="AH72" s="3">
        <f>IF(AH$66&gt;0.000000001,AH$71/AH$66,0)</f>
      </c>
      <c r="AI72" s="3">
        <f>IF(AI$66&gt;0.000000001,AI$71/AI$66,0)</f>
      </c>
      <c r="AJ72" s="3">
        <f>IF(AJ$66&gt;0.000000001,AJ$71/AJ$66,0)</f>
      </c>
      <c r="AK72" s="3">
        <f>IF(AK$66&gt;0.000000001,AK$71/AK$66,0)</f>
      </c>
      <c r="AL72" s="3">
        <f>IF(AL$66&gt;0.000000001,AL$71/AL$66,0)</f>
      </c>
    </row>
    <row r="73">
      <c r="A73" t="str">
        <v>Sales/SE overhead allocation</v>
      </c>
      <c r="B73" t="str">
        <v>salesOverhead</v>
      </c>
      <c r="C73" s="1">
        <f>C$66*Inputs!$B$24</f>
      </c>
      <c r="D73" s="1">
        <f>D$66*Inputs!$B$24</f>
      </c>
      <c r="E73" s="1">
        <f>E$66*Inputs!$B$24</f>
      </c>
      <c r="F73" s="1">
        <f>F$66*Inputs!$B$24</f>
      </c>
      <c r="G73" s="1">
        <f>G$66*Inputs!$B$24</f>
      </c>
      <c r="H73" s="1">
        <f>H$66*Inputs!$B$24</f>
      </c>
      <c r="I73" s="1">
        <f>I$66*Inputs!$B$24</f>
      </c>
      <c r="J73" s="1">
        <f>J$66*Inputs!$B$24</f>
      </c>
      <c r="K73" s="1">
        <f>K$66*Inputs!$B$24</f>
      </c>
      <c r="L73" s="1">
        <f>L$66*Inputs!$B$24</f>
      </c>
      <c r="M73" s="1">
        <f>M$66*Inputs!$B$24</f>
      </c>
      <c r="N73" s="1">
        <f>N$66*Inputs!$B$24</f>
      </c>
      <c r="O73" s="1">
        <f>O$66*Inputs!$B$24</f>
      </c>
      <c r="P73" s="1">
        <f>P$66*Inputs!$B$24</f>
      </c>
      <c r="Q73" s="1">
        <f>Q$66*Inputs!$B$24</f>
      </c>
      <c r="R73" s="1">
        <f>R$66*Inputs!$B$24</f>
      </c>
      <c r="S73" s="1">
        <f>S$66*Inputs!$B$24</f>
      </c>
      <c r="T73" s="1">
        <f>T$66*Inputs!$B$24</f>
      </c>
      <c r="U73" s="1">
        <f>U$66*Inputs!$B$24</f>
      </c>
      <c r="V73" s="1">
        <f>V$66*Inputs!$B$24</f>
      </c>
      <c r="W73" s="1">
        <f>W$66*Inputs!$B$24</f>
      </c>
      <c r="X73" s="1">
        <f>X$66*Inputs!$B$24</f>
      </c>
      <c r="Y73" s="1">
        <f>Y$66*Inputs!$B$24</f>
      </c>
      <c r="Z73" s="1">
        <f>Z$66*Inputs!$B$24</f>
      </c>
      <c r="AA73" s="1">
        <f>AA$66*Inputs!$B$24</f>
      </c>
      <c r="AB73" s="1">
        <f>AB$66*Inputs!$B$24</f>
      </c>
      <c r="AC73" s="1">
        <f>AC$66*Inputs!$B$24</f>
      </c>
      <c r="AD73" s="1">
        <f>AD$66*Inputs!$B$24</f>
      </c>
      <c r="AE73" s="1">
        <f>AE$66*Inputs!$B$24</f>
      </c>
      <c r="AF73" s="1">
        <f>AF$66*Inputs!$B$24</f>
      </c>
      <c r="AG73" s="1">
        <f>AG$66*Inputs!$B$24</f>
      </c>
      <c r="AH73" s="1">
        <f>AH$66*Inputs!$B$24</f>
      </c>
      <c r="AI73" s="1">
        <f>AI$66*Inputs!$B$24</f>
      </c>
      <c r="AJ73" s="1">
        <f>AJ$66*Inputs!$B$24</f>
      </c>
      <c r="AK73" s="1">
        <f>AK$66*Inputs!$B$24</f>
      </c>
      <c r="AL73" s="1">
        <f>AL$66*Inputs!$B$24</f>
      </c>
    </row>
    <row r="74">
      <c r="A74" t="str">
        <v>Travel</v>
      </c>
      <c r="B74" t="str">
        <v>travel</v>
      </c>
      <c r="C74" s="1">
        <f>C$66*Inputs!$B$29</f>
      </c>
      <c r="D74" s="1">
        <f>D$66*Inputs!$B$29</f>
      </c>
      <c r="E74" s="1">
        <f>E$66*Inputs!$B$29</f>
      </c>
      <c r="F74" s="1">
        <f>F$66*Inputs!$B$29</f>
      </c>
      <c r="G74" s="1">
        <f>G$66*Inputs!$B$29</f>
      </c>
      <c r="H74" s="1">
        <f>H$66*Inputs!$B$29</f>
      </c>
      <c r="I74" s="1">
        <f>I$66*Inputs!$B$29</f>
      </c>
      <c r="J74" s="1">
        <f>J$66*Inputs!$B$29</f>
      </c>
      <c r="K74" s="1">
        <f>K$66*Inputs!$B$29</f>
      </c>
      <c r="L74" s="1">
        <f>L$66*Inputs!$B$29</f>
      </c>
      <c r="M74" s="1">
        <f>M$66*Inputs!$B$29</f>
      </c>
      <c r="N74" s="1">
        <f>N$66*Inputs!$B$29</f>
      </c>
      <c r="O74" s="1">
        <f>O$66*Inputs!$B$29</f>
      </c>
      <c r="P74" s="1">
        <f>P$66*Inputs!$B$29</f>
      </c>
      <c r="Q74" s="1">
        <f>Q$66*Inputs!$B$29</f>
      </c>
      <c r="R74" s="1">
        <f>R$66*Inputs!$B$29</f>
      </c>
      <c r="S74" s="1">
        <f>S$66*Inputs!$B$29</f>
      </c>
      <c r="T74" s="1">
        <f>T$66*Inputs!$B$29</f>
      </c>
      <c r="U74" s="1">
        <f>U$66*Inputs!$B$29</f>
      </c>
      <c r="V74" s="1">
        <f>V$66*Inputs!$B$29</f>
      </c>
      <c r="W74" s="1">
        <f>W$66*Inputs!$B$29</f>
      </c>
      <c r="X74" s="1">
        <f>X$66*Inputs!$B$29</f>
      </c>
      <c r="Y74" s="1">
        <f>Y$66*Inputs!$B$29</f>
      </c>
      <c r="Z74" s="1">
        <f>Z$66*Inputs!$B$29</f>
      </c>
      <c r="AA74" s="1">
        <f>AA$66*Inputs!$B$29</f>
      </c>
      <c r="AB74" s="1">
        <f>AB$66*Inputs!$B$29</f>
      </c>
      <c r="AC74" s="1">
        <f>AC$66*Inputs!$B$29</f>
      </c>
      <c r="AD74" s="1">
        <f>AD$66*Inputs!$B$29</f>
      </c>
      <c r="AE74" s="1">
        <f>AE$66*Inputs!$B$29</f>
      </c>
      <c r="AF74" s="1">
        <f>AF$66*Inputs!$B$29</f>
      </c>
      <c r="AG74" s="1">
        <f>AG$66*Inputs!$B$29</f>
      </c>
      <c r="AH74" s="1">
        <f>AH$66*Inputs!$B$29</f>
      </c>
      <c r="AI74" s="1">
        <f>AI$66*Inputs!$B$29</f>
      </c>
      <c r="AJ74" s="1">
        <f>AJ$66*Inputs!$B$29</f>
      </c>
      <c r="AK74" s="1">
        <f>AK$66*Inputs!$B$29</f>
      </c>
      <c r="AL74" s="1">
        <f>AL$66*Inputs!$B$29</f>
      </c>
    </row>
    <row r="75">
      <c r="A75" t="str">
        <v>Contribution margin</v>
      </c>
      <c r="B75" t="str">
        <v>contribution</v>
      </c>
      <c r="C75" s="1">
        <f>C$71-C$73-C$74</f>
      </c>
      <c r="D75" s="1">
        <f>D$71-D$73-D$74</f>
      </c>
      <c r="E75" s="1">
        <f>E$71-E$73-E$74</f>
      </c>
      <c r="F75" s="1">
        <f>F$71-F$73-F$74</f>
      </c>
      <c r="G75" s="1">
        <f>G$71-G$73-G$74</f>
      </c>
      <c r="H75" s="1">
        <f>H$71-H$73-H$74</f>
      </c>
      <c r="I75" s="1">
        <f>I$71-I$73-I$74</f>
      </c>
      <c r="J75" s="1">
        <f>J$71-J$73-J$74</f>
      </c>
      <c r="K75" s="1">
        <f>K$71-K$73-K$74</f>
      </c>
      <c r="L75" s="1">
        <f>L$71-L$73-L$74</f>
      </c>
      <c r="M75" s="1">
        <f>M$71-M$73-M$74</f>
      </c>
      <c r="N75" s="1">
        <f>N$71-N$73-N$74</f>
      </c>
      <c r="O75" s="1">
        <f>O$71-O$73-O$74</f>
      </c>
      <c r="P75" s="1">
        <f>P$71-P$73-P$74</f>
      </c>
      <c r="Q75" s="1">
        <f>Q$71-Q$73-Q$74</f>
      </c>
      <c r="R75" s="1">
        <f>R$71-R$73-R$74</f>
      </c>
      <c r="S75" s="1">
        <f>S$71-S$73-S$74</f>
      </c>
      <c r="T75" s="1">
        <f>T$71-T$73-T$74</f>
      </c>
      <c r="U75" s="1">
        <f>U$71-U$73-U$74</f>
      </c>
      <c r="V75" s="1">
        <f>V$71-V$73-V$74</f>
      </c>
      <c r="W75" s="1">
        <f>W$71-W$73-W$74</f>
      </c>
      <c r="X75" s="1">
        <f>X$71-X$73-X$74</f>
      </c>
      <c r="Y75" s="1">
        <f>Y$71-Y$73-Y$74</f>
      </c>
      <c r="Z75" s="1">
        <f>Z$71-Z$73-Z$74</f>
      </c>
      <c r="AA75" s="1">
        <f>AA$71-AA$73-AA$74</f>
      </c>
      <c r="AB75" s="1">
        <f>AB$71-AB$73-AB$74</f>
      </c>
      <c r="AC75" s="1">
        <f>AC$71-AC$73-AC$74</f>
      </c>
      <c r="AD75" s="1">
        <f>AD$71-AD$73-AD$74</f>
      </c>
      <c r="AE75" s="1">
        <f>AE$71-AE$73-AE$74</f>
      </c>
      <c r="AF75" s="1">
        <f>AF$71-AF$73-AF$74</f>
      </c>
      <c r="AG75" s="1">
        <f>AG$71-AG$73-AG$74</f>
      </c>
      <c r="AH75" s="1">
        <f>AH$71-AH$73-AH$74</f>
      </c>
      <c r="AI75" s="1">
        <f>AI$71-AI$73-AI$74</f>
      </c>
      <c r="AJ75" s="1">
        <f>AJ$71-AJ$73-AJ$74</f>
      </c>
      <c r="AK75" s="1">
        <f>AK$71-AK$73-AK$74</f>
      </c>
      <c r="AL75" s="1">
        <f>AL$71-AL$73-AL$74</f>
      </c>
    </row>
    <row r="76">
      <c r="A76" t="str">
        <v>Practice lead allocation</v>
      </c>
      <c r="B76" t="str">
        <v>practiceLead</v>
      </c>
      <c r="C76" s="1">
        <f>Inputs!$B$18/12</f>
      </c>
      <c r="D76" s="1">
        <f>Inputs!$B$18/12</f>
      </c>
      <c r="E76" s="1">
        <f>Inputs!$B$18/12</f>
      </c>
      <c r="F76" s="1">
        <f>Inputs!$B$18/12</f>
      </c>
      <c r="G76" s="1">
        <f>Inputs!$B$18/12</f>
      </c>
      <c r="H76" s="1">
        <f>Inputs!$B$18/12</f>
      </c>
      <c r="I76" s="1">
        <f>Inputs!$B$18/12</f>
      </c>
      <c r="J76" s="1">
        <f>Inputs!$B$18/12</f>
      </c>
      <c r="K76" s="1">
        <f>Inputs!$B$18/12</f>
      </c>
      <c r="L76" s="1">
        <f>Inputs!$B$18/12</f>
      </c>
      <c r="M76" s="1">
        <f>Inputs!$B$18/12</f>
      </c>
      <c r="N76" s="1">
        <f>Inputs!$B$18/12</f>
      </c>
      <c r="O76" s="1">
        <f>Inputs!$B$18/12</f>
      </c>
      <c r="P76" s="1">
        <f>Inputs!$B$18/12</f>
      </c>
      <c r="Q76" s="1">
        <f>Inputs!$B$18/12</f>
      </c>
      <c r="R76" s="1">
        <f>Inputs!$B$18/12</f>
      </c>
      <c r="S76" s="1">
        <f>Inputs!$B$18/12</f>
      </c>
      <c r="T76" s="1">
        <f>Inputs!$B$18/12</f>
      </c>
      <c r="U76" s="1">
        <f>Inputs!$B$18/12</f>
      </c>
      <c r="V76" s="1">
        <f>Inputs!$B$18/12</f>
      </c>
      <c r="W76" s="1">
        <f>Inputs!$B$18/12</f>
      </c>
      <c r="X76" s="1">
        <f>Inputs!$B$18/12</f>
      </c>
      <c r="Y76" s="1">
        <f>Inputs!$B$18/12</f>
      </c>
      <c r="Z76" s="1">
        <f>Inputs!$B$18/12</f>
      </c>
      <c r="AA76" s="1">
        <f>Inputs!$B$18/12</f>
      </c>
      <c r="AB76" s="1">
        <f>Inputs!$B$18/12</f>
      </c>
      <c r="AC76" s="1">
        <f>Inputs!$B$18/12</f>
      </c>
      <c r="AD76" s="1">
        <f>Inputs!$B$18/12</f>
      </c>
      <c r="AE76" s="1">
        <f>Inputs!$B$18/12</f>
      </c>
      <c r="AF76" s="1">
        <f>Inputs!$B$18/12</f>
      </c>
      <c r="AG76" s="1">
        <f>Inputs!$B$18/12</f>
      </c>
      <c r="AH76" s="1">
        <f>Inputs!$B$18/12</f>
      </c>
      <c r="AI76" s="1">
        <f>Inputs!$B$18/12</f>
      </c>
      <c r="AJ76" s="1">
        <f>Inputs!$B$18/12</f>
      </c>
      <c r="AK76" s="1">
        <f>Inputs!$B$18/12</f>
      </c>
      <c r="AL76" s="1">
        <f>Inputs!$B$18/12</f>
      </c>
    </row>
    <row r="77">
      <c r="A77" t="str">
        <v>Marketing / MDF</v>
      </c>
      <c r="B77" t="str">
        <v>marketing</v>
      </c>
      <c r="C77" s="1">
        <f>IF(C$3=1,Inputs!$B$25,IF(C$3=2,Inputs!$B$26,Inputs!$B$27))/12</f>
      </c>
      <c r="D77" s="1">
        <f>IF(D$3=1,Inputs!$B$25,IF(D$3=2,Inputs!$B$26,Inputs!$B$27))/12</f>
      </c>
      <c r="E77" s="1">
        <f>IF(E$3=1,Inputs!$B$25,IF(E$3=2,Inputs!$B$26,Inputs!$B$27))/12</f>
      </c>
      <c r="F77" s="1">
        <f>IF(F$3=1,Inputs!$B$25,IF(F$3=2,Inputs!$B$26,Inputs!$B$27))/12</f>
      </c>
      <c r="G77" s="1">
        <f>IF(G$3=1,Inputs!$B$25,IF(G$3=2,Inputs!$B$26,Inputs!$B$27))/12</f>
      </c>
      <c r="H77" s="1">
        <f>IF(H$3=1,Inputs!$B$25,IF(H$3=2,Inputs!$B$26,Inputs!$B$27))/12</f>
      </c>
      <c r="I77" s="1">
        <f>IF(I$3=1,Inputs!$B$25,IF(I$3=2,Inputs!$B$26,Inputs!$B$27))/12</f>
      </c>
      <c r="J77" s="1">
        <f>IF(J$3=1,Inputs!$B$25,IF(J$3=2,Inputs!$B$26,Inputs!$B$27))/12</f>
      </c>
      <c r="K77" s="1">
        <f>IF(K$3=1,Inputs!$B$25,IF(K$3=2,Inputs!$B$26,Inputs!$B$27))/12</f>
      </c>
      <c r="L77" s="1">
        <f>IF(L$3=1,Inputs!$B$25,IF(L$3=2,Inputs!$B$26,Inputs!$B$27))/12</f>
      </c>
      <c r="M77" s="1">
        <f>IF(M$3=1,Inputs!$B$25,IF(M$3=2,Inputs!$B$26,Inputs!$B$27))/12</f>
      </c>
      <c r="N77" s="1">
        <f>IF(N$3=1,Inputs!$B$25,IF(N$3=2,Inputs!$B$26,Inputs!$B$27))/12</f>
      </c>
      <c r="O77" s="1">
        <f>IF(O$3=1,Inputs!$B$25,IF(O$3=2,Inputs!$B$26,Inputs!$B$27))/12</f>
      </c>
      <c r="P77" s="1">
        <f>IF(P$3=1,Inputs!$B$25,IF(P$3=2,Inputs!$B$26,Inputs!$B$27))/12</f>
      </c>
      <c r="Q77" s="1">
        <f>IF(Q$3=1,Inputs!$B$25,IF(Q$3=2,Inputs!$B$26,Inputs!$B$27))/12</f>
      </c>
      <c r="R77" s="1">
        <f>IF(R$3=1,Inputs!$B$25,IF(R$3=2,Inputs!$B$26,Inputs!$B$27))/12</f>
      </c>
      <c r="S77" s="1">
        <f>IF(S$3=1,Inputs!$B$25,IF(S$3=2,Inputs!$B$26,Inputs!$B$27))/12</f>
      </c>
      <c r="T77" s="1">
        <f>IF(T$3=1,Inputs!$B$25,IF(T$3=2,Inputs!$B$26,Inputs!$B$27))/12</f>
      </c>
      <c r="U77" s="1">
        <f>IF(U$3=1,Inputs!$B$25,IF(U$3=2,Inputs!$B$26,Inputs!$B$27))/12</f>
      </c>
      <c r="V77" s="1">
        <f>IF(V$3=1,Inputs!$B$25,IF(V$3=2,Inputs!$B$26,Inputs!$B$27))/12</f>
      </c>
      <c r="W77" s="1">
        <f>IF(W$3=1,Inputs!$B$25,IF(W$3=2,Inputs!$B$26,Inputs!$B$27))/12</f>
      </c>
      <c r="X77" s="1">
        <f>IF(X$3=1,Inputs!$B$25,IF(X$3=2,Inputs!$B$26,Inputs!$B$27))/12</f>
      </c>
      <c r="Y77" s="1">
        <f>IF(Y$3=1,Inputs!$B$25,IF(Y$3=2,Inputs!$B$26,Inputs!$B$27))/12</f>
      </c>
      <c r="Z77" s="1">
        <f>IF(Z$3=1,Inputs!$B$25,IF(Z$3=2,Inputs!$B$26,Inputs!$B$27))/12</f>
      </c>
      <c r="AA77" s="1">
        <f>IF(AA$3=1,Inputs!$B$25,IF(AA$3=2,Inputs!$B$26,Inputs!$B$27))/12</f>
      </c>
      <c r="AB77" s="1">
        <f>IF(AB$3=1,Inputs!$B$25,IF(AB$3=2,Inputs!$B$26,Inputs!$B$27))/12</f>
      </c>
      <c r="AC77" s="1">
        <f>IF(AC$3=1,Inputs!$B$25,IF(AC$3=2,Inputs!$B$26,Inputs!$B$27))/12</f>
      </c>
      <c r="AD77" s="1">
        <f>IF(AD$3=1,Inputs!$B$25,IF(AD$3=2,Inputs!$B$26,Inputs!$B$27))/12</f>
      </c>
      <c r="AE77" s="1">
        <f>IF(AE$3=1,Inputs!$B$25,IF(AE$3=2,Inputs!$B$26,Inputs!$B$27))/12</f>
      </c>
      <c r="AF77" s="1">
        <f>IF(AF$3=1,Inputs!$B$25,IF(AF$3=2,Inputs!$B$26,Inputs!$B$27))/12</f>
      </c>
      <c r="AG77" s="1">
        <f>IF(AG$3=1,Inputs!$B$25,IF(AG$3=2,Inputs!$B$26,Inputs!$B$27))/12</f>
      </c>
      <c r="AH77" s="1">
        <f>IF(AH$3=1,Inputs!$B$25,IF(AH$3=2,Inputs!$B$26,Inputs!$B$27))/12</f>
      </c>
      <c r="AI77" s="1">
        <f>IF(AI$3=1,Inputs!$B$25,IF(AI$3=2,Inputs!$B$26,Inputs!$B$27))/12</f>
      </c>
      <c r="AJ77" s="1">
        <f>IF(AJ$3=1,Inputs!$B$25,IF(AJ$3=2,Inputs!$B$26,Inputs!$B$27))/12</f>
      </c>
      <c r="AK77" s="1">
        <f>IF(AK$3=1,Inputs!$B$25,IF(AK$3=2,Inputs!$B$26,Inputs!$B$27))/12</f>
      </c>
      <c r="AL77" s="1">
        <f>IF(AL$3=1,Inputs!$B$25,IF(AL$3=2,Inputs!$B$26,Inputs!$B$27))/12</f>
      </c>
    </row>
    <row r="78">
      <c r="A78" t="str">
        <v>Training and certification</v>
      </c>
      <c r="B78" t="str">
        <v>training</v>
      </c>
      <c r="C78" s="1">
        <f>C$7*Inputs!$B$28/12</f>
      </c>
      <c r="D78" s="1">
        <f>D$7*Inputs!$B$28/12</f>
      </c>
      <c r="E78" s="1">
        <f>E$7*Inputs!$B$28/12</f>
      </c>
      <c r="F78" s="1">
        <f>F$7*Inputs!$B$28/12</f>
      </c>
      <c r="G78" s="1">
        <f>G$7*Inputs!$B$28/12</f>
      </c>
      <c r="H78" s="1">
        <f>H$7*Inputs!$B$28/12</f>
      </c>
      <c r="I78" s="1">
        <f>I$7*Inputs!$B$28/12</f>
      </c>
      <c r="J78" s="1">
        <f>J$7*Inputs!$B$28/12</f>
      </c>
      <c r="K78" s="1">
        <f>K$7*Inputs!$B$28/12</f>
      </c>
      <c r="L78" s="1">
        <f>L$7*Inputs!$B$28/12</f>
      </c>
      <c r="M78" s="1">
        <f>M$7*Inputs!$B$28/12</f>
      </c>
      <c r="N78" s="1">
        <f>N$7*Inputs!$B$28/12</f>
      </c>
      <c r="O78" s="1">
        <f>O$7*Inputs!$B$28/12</f>
      </c>
      <c r="P78" s="1">
        <f>P$7*Inputs!$B$28/12</f>
      </c>
      <c r="Q78" s="1">
        <f>Q$7*Inputs!$B$28/12</f>
      </c>
      <c r="R78" s="1">
        <f>R$7*Inputs!$B$28/12</f>
      </c>
      <c r="S78" s="1">
        <f>S$7*Inputs!$B$28/12</f>
      </c>
      <c r="T78" s="1">
        <f>T$7*Inputs!$B$28/12</f>
      </c>
      <c r="U78" s="1">
        <f>U$7*Inputs!$B$28/12</f>
      </c>
      <c r="V78" s="1">
        <f>V$7*Inputs!$B$28/12</f>
      </c>
      <c r="W78" s="1">
        <f>W$7*Inputs!$B$28/12</f>
      </c>
      <c r="X78" s="1">
        <f>X$7*Inputs!$B$28/12</f>
      </c>
      <c r="Y78" s="1">
        <f>Y$7*Inputs!$B$28/12</f>
      </c>
      <c r="Z78" s="1">
        <f>Z$7*Inputs!$B$28/12</f>
      </c>
      <c r="AA78" s="1">
        <f>AA$7*Inputs!$B$28/12</f>
      </c>
      <c r="AB78" s="1">
        <f>AB$7*Inputs!$B$28/12</f>
      </c>
      <c r="AC78" s="1">
        <f>AC$7*Inputs!$B$28/12</f>
      </c>
      <c r="AD78" s="1">
        <f>AD$7*Inputs!$B$28/12</f>
      </c>
      <c r="AE78" s="1">
        <f>AE$7*Inputs!$B$28/12</f>
      </c>
      <c r="AF78" s="1">
        <f>AF$7*Inputs!$B$28/12</f>
      </c>
      <c r="AG78" s="1">
        <f>AG$7*Inputs!$B$28/12</f>
      </c>
      <c r="AH78" s="1">
        <f>AH$7*Inputs!$B$28/12</f>
      </c>
      <c r="AI78" s="1">
        <f>AI$7*Inputs!$B$28/12</f>
      </c>
      <c r="AJ78" s="1">
        <f>AJ$7*Inputs!$B$28/12</f>
      </c>
      <c r="AK78" s="1">
        <f>AK$7*Inputs!$B$28/12</f>
      </c>
      <c r="AL78" s="1">
        <f>AL$7*Inputs!$B$28/12</f>
      </c>
    </row>
    <row r="79">
      <c r="A79" t="str">
        <v>Tooling, lab, Falcon IQ sandbox</v>
      </c>
      <c r="B79" t="str">
        <v>tooling</v>
      </c>
      <c r="C79" s="1">
        <f>Inputs!$B$30/12</f>
      </c>
      <c r="D79" s="1">
        <f>Inputs!$B$30/12</f>
      </c>
      <c r="E79" s="1">
        <f>Inputs!$B$30/12</f>
      </c>
      <c r="F79" s="1">
        <f>Inputs!$B$30/12</f>
      </c>
      <c r="G79" s="1">
        <f>Inputs!$B$30/12</f>
      </c>
      <c r="H79" s="1">
        <f>Inputs!$B$30/12</f>
      </c>
      <c r="I79" s="1">
        <f>Inputs!$B$30/12</f>
      </c>
      <c r="J79" s="1">
        <f>Inputs!$B$30/12</f>
      </c>
      <c r="K79" s="1">
        <f>Inputs!$B$30/12</f>
      </c>
      <c r="L79" s="1">
        <f>Inputs!$B$30/12</f>
      </c>
      <c r="M79" s="1">
        <f>Inputs!$B$30/12</f>
      </c>
      <c r="N79" s="1">
        <f>Inputs!$B$30/12</f>
      </c>
      <c r="O79" s="1">
        <f>Inputs!$B$30/12</f>
      </c>
      <c r="P79" s="1">
        <f>Inputs!$B$30/12</f>
      </c>
      <c r="Q79" s="1">
        <f>Inputs!$B$30/12</f>
      </c>
      <c r="R79" s="1">
        <f>Inputs!$B$30/12</f>
      </c>
      <c r="S79" s="1">
        <f>Inputs!$B$30/12</f>
      </c>
      <c r="T79" s="1">
        <f>Inputs!$B$30/12</f>
      </c>
      <c r="U79" s="1">
        <f>Inputs!$B$30/12</f>
      </c>
      <c r="V79" s="1">
        <f>Inputs!$B$30/12</f>
      </c>
      <c r="W79" s="1">
        <f>Inputs!$B$30/12</f>
      </c>
      <c r="X79" s="1">
        <f>Inputs!$B$30/12</f>
      </c>
      <c r="Y79" s="1">
        <f>Inputs!$B$30/12</f>
      </c>
      <c r="Z79" s="1">
        <f>Inputs!$B$30/12</f>
      </c>
      <c r="AA79" s="1">
        <f>Inputs!$B$30/12</f>
      </c>
      <c r="AB79" s="1">
        <f>Inputs!$B$30/12</f>
      </c>
      <c r="AC79" s="1">
        <f>Inputs!$B$30/12</f>
      </c>
      <c r="AD79" s="1">
        <f>Inputs!$B$30/12</f>
      </c>
      <c r="AE79" s="1">
        <f>Inputs!$B$30/12</f>
      </c>
      <c r="AF79" s="1">
        <f>Inputs!$B$30/12</f>
      </c>
      <c r="AG79" s="1">
        <f>Inputs!$B$30/12</f>
      </c>
      <c r="AH79" s="1">
        <f>Inputs!$B$30/12</f>
      </c>
      <c r="AI79" s="1">
        <f>Inputs!$B$30/12</f>
      </c>
      <c r="AJ79" s="1">
        <f>Inputs!$B$30/12</f>
      </c>
      <c r="AK79" s="1">
        <f>Inputs!$B$30/12</f>
      </c>
      <c r="AL79" s="1">
        <f>Inputs!$B$30/12</f>
      </c>
    </row>
    <row r="80">
      <c r="A80" t="str">
        <v>Insurance / legal</v>
      </c>
      <c r="B80" t="str">
        <v>insuranceLegal</v>
      </c>
      <c r="C80" s="1">
        <f>Inputs!$B$31/12</f>
      </c>
      <c r="D80" s="1">
        <f>Inputs!$B$31/12</f>
      </c>
      <c r="E80" s="1">
        <f>Inputs!$B$31/12</f>
      </c>
      <c r="F80" s="1">
        <f>Inputs!$B$31/12</f>
      </c>
      <c r="G80" s="1">
        <f>Inputs!$B$31/12</f>
      </c>
      <c r="H80" s="1">
        <f>Inputs!$B$31/12</f>
      </c>
      <c r="I80" s="1">
        <f>Inputs!$B$31/12</f>
      </c>
      <c r="J80" s="1">
        <f>Inputs!$B$31/12</f>
      </c>
      <c r="K80" s="1">
        <f>Inputs!$B$31/12</f>
      </c>
      <c r="L80" s="1">
        <f>Inputs!$B$31/12</f>
      </c>
      <c r="M80" s="1">
        <f>Inputs!$B$31/12</f>
      </c>
      <c r="N80" s="1">
        <f>Inputs!$B$31/12</f>
      </c>
      <c r="O80" s="1">
        <f>Inputs!$B$31/12</f>
      </c>
      <c r="P80" s="1">
        <f>Inputs!$B$31/12</f>
      </c>
      <c r="Q80" s="1">
        <f>Inputs!$B$31/12</f>
      </c>
      <c r="R80" s="1">
        <f>Inputs!$B$31/12</f>
      </c>
      <c r="S80" s="1">
        <f>Inputs!$B$31/12</f>
      </c>
      <c r="T80" s="1">
        <f>Inputs!$B$31/12</f>
      </c>
      <c r="U80" s="1">
        <f>Inputs!$B$31/12</f>
      </c>
      <c r="V80" s="1">
        <f>Inputs!$B$31/12</f>
      </c>
      <c r="W80" s="1">
        <f>Inputs!$B$31/12</f>
      </c>
      <c r="X80" s="1">
        <f>Inputs!$B$31/12</f>
      </c>
      <c r="Y80" s="1">
        <f>Inputs!$B$31/12</f>
      </c>
      <c r="Z80" s="1">
        <f>Inputs!$B$31/12</f>
      </c>
      <c r="AA80" s="1">
        <f>Inputs!$B$31/12</f>
      </c>
      <c r="AB80" s="1">
        <f>Inputs!$B$31/12</f>
      </c>
      <c r="AC80" s="1">
        <f>Inputs!$B$31/12</f>
      </c>
      <c r="AD80" s="1">
        <f>Inputs!$B$31/12</f>
      </c>
      <c r="AE80" s="1">
        <f>Inputs!$B$31/12</f>
      </c>
      <c r="AF80" s="1">
        <f>Inputs!$B$31/12</f>
      </c>
      <c r="AG80" s="1">
        <f>Inputs!$B$31/12</f>
      </c>
      <c r="AH80" s="1">
        <f>Inputs!$B$31/12</f>
      </c>
      <c r="AI80" s="1">
        <f>Inputs!$B$31/12</f>
      </c>
      <c r="AJ80" s="1">
        <f>Inputs!$B$31/12</f>
      </c>
      <c r="AK80" s="1">
        <f>Inputs!$B$31/12</f>
      </c>
      <c r="AL80" s="1">
        <f>Inputs!$B$31/12</f>
      </c>
    </row>
    <row r="81">
      <c r="A81" t="str">
        <v>Fixed opex</v>
      </c>
      <c r="B81" t="str">
        <v>fixedOpex</v>
      </c>
      <c r="C81" s="1">
        <f>C$76+C$77+C$78+C$79+C$80</f>
      </c>
      <c r="D81" s="1">
        <f>D$76+D$77+D$78+D$79+D$80</f>
      </c>
      <c r="E81" s="1">
        <f>E$76+E$77+E$78+E$79+E$80</f>
      </c>
      <c r="F81" s="1">
        <f>F$76+F$77+F$78+F$79+F$80</f>
      </c>
      <c r="G81" s="1">
        <f>G$76+G$77+G$78+G$79+G$80</f>
      </c>
      <c r="H81" s="1">
        <f>H$76+H$77+H$78+H$79+H$80</f>
      </c>
      <c r="I81" s="1">
        <f>I$76+I$77+I$78+I$79+I$80</f>
      </c>
      <c r="J81" s="1">
        <f>J$76+J$77+J$78+J$79+J$80</f>
      </c>
      <c r="K81" s="1">
        <f>K$76+K$77+K$78+K$79+K$80</f>
      </c>
      <c r="L81" s="1">
        <f>L$76+L$77+L$78+L$79+L$80</f>
      </c>
      <c r="M81" s="1">
        <f>M$76+M$77+M$78+M$79+M$80</f>
      </c>
      <c r="N81" s="1">
        <f>N$76+N$77+N$78+N$79+N$80</f>
      </c>
      <c r="O81" s="1">
        <f>O$76+O$77+O$78+O$79+O$80</f>
      </c>
      <c r="P81" s="1">
        <f>P$76+P$77+P$78+P$79+P$80</f>
      </c>
      <c r="Q81" s="1">
        <f>Q$76+Q$77+Q$78+Q$79+Q$80</f>
      </c>
      <c r="R81" s="1">
        <f>R$76+R$77+R$78+R$79+R$80</f>
      </c>
      <c r="S81" s="1">
        <f>S$76+S$77+S$78+S$79+S$80</f>
      </c>
      <c r="T81" s="1">
        <f>T$76+T$77+T$78+T$79+T$80</f>
      </c>
      <c r="U81" s="1">
        <f>U$76+U$77+U$78+U$79+U$80</f>
      </c>
      <c r="V81" s="1">
        <f>V$76+V$77+V$78+V$79+V$80</f>
      </c>
      <c r="W81" s="1">
        <f>W$76+W$77+W$78+W$79+W$80</f>
      </c>
      <c r="X81" s="1">
        <f>X$76+X$77+X$78+X$79+X$80</f>
      </c>
      <c r="Y81" s="1">
        <f>Y$76+Y$77+Y$78+Y$79+Y$80</f>
      </c>
      <c r="Z81" s="1">
        <f>Z$76+Z$77+Z$78+Z$79+Z$80</f>
      </c>
      <c r="AA81" s="1">
        <f>AA$76+AA$77+AA$78+AA$79+AA$80</f>
      </c>
      <c r="AB81" s="1">
        <f>AB$76+AB$77+AB$78+AB$79+AB$80</f>
      </c>
      <c r="AC81" s="1">
        <f>AC$76+AC$77+AC$78+AC$79+AC$80</f>
      </c>
      <c r="AD81" s="1">
        <f>AD$76+AD$77+AD$78+AD$79+AD$80</f>
      </c>
      <c r="AE81" s="1">
        <f>AE$76+AE$77+AE$78+AE$79+AE$80</f>
      </c>
      <c r="AF81" s="1">
        <f>AF$76+AF$77+AF$78+AF$79+AF$80</f>
      </c>
      <c r="AG81" s="1">
        <f>AG$76+AG$77+AG$78+AG$79+AG$80</f>
      </c>
      <c r="AH81" s="1">
        <f>AH$76+AH$77+AH$78+AH$79+AH$80</f>
      </c>
      <c r="AI81" s="1">
        <f>AI$76+AI$77+AI$78+AI$79+AI$80</f>
      </c>
      <c r="AJ81" s="1">
        <f>AJ$76+AJ$77+AJ$78+AJ$79+AJ$80</f>
      </c>
      <c r="AK81" s="1">
        <f>AK$76+AK$77+AK$78+AK$79+AK$80</f>
      </c>
      <c r="AL81" s="1">
        <f>AL$76+AL$77+AL$78+AL$79+AL$80</f>
      </c>
    </row>
    <row r="82">
      <c r="A82" t="str">
        <v>EBITDA</v>
      </c>
      <c r="B82" t="str">
        <v>ebitda</v>
      </c>
      <c r="C82" s="1">
        <f>C$75-C$81</f>
      </c>
      <c r="D82" s="1">
        <f>D$75-D$81</f>
      </c>
      <c r="E82" s="1">
        <f>E$75-E$81</f>
      </c>
      <c r="F82" s="1">
        <f>F$75-F$81</f>
      </c>
      <c r="G82" s="1">
        <f>G$75-G$81</f>
      </c>
      <c r="H82" s="1">
        <f>H$75-H$81</f>
      </c>
      <c r="I82" s="1">
        <f>I$75-I$81</f>
      </c>
      <c r="J82" s="1">
        <f>J$75-J$81</f>
      </c>
      <c r="K82" s="1">
        <f>K$75-K$81</f>
      </c>
      <c r="L82" s="1">
        <f>L$75-L$81</f>
      </c>
      <c r="M82" s="1">
        <f>M$75-M$81</f>
      </c>
      <c r="N82" s="1">
        <f>N$75-N$81</f>
      </c>
      <c r="O82" s="1">
        <f>O$75-O$81</f>
      </c>
      <c r="P82" s="1">
        <f>P$75-P$81</f>
      </c>
      <c r="Q82" s="1">
        <f>Q$75-Q$81</f>
      </c>
      <c r="R82" s="1">
        <f>R$75-R$81</f>
      </c>
      <c r="S82" s="1">
        <f>S$75-S$81</f>
      </c>
      <c r="T82" s="1">
        <f>T$75-T$81</f>
      </c>
      <c r="U82" s="1">
        <f>U$75-U$81</f>
      </c>
      <c r="V82" s="1">
        <f>V$75-V$81</f>
      </c>
      <c r="W82" s="1">
        <f>W$75-W$81</f>
      </c>
      <c r="X82" s="1">
        <f>X$75-X$81</f>
      </c>
      <c r="Y82" s="1">
        <f>Y$75-Y$81</f>
      </c>
      <c r="Z82" s="1">
        <f>Z$75-Z$81</f>
      </c>
      <c r="AA82" s="1">
        <f>AA$75-AA$81</f>
      </c>
      <c r="AB82" s="1">
        <f>AB$75-AB$81</f>
      </c>
      <c r="AC82" s="1">
        <f>AC$75-AC$81</f>
      </c>
      <c r="AD82" s="1">
        <f>AD$75-AD$81</f>
      </c>
      <c r="AE82" s="1">
        <f>AE$75-AE$81</f>
      </c>
      <c r="AF82" s="1">
        <f>AF$75-AF$81</f>
      </c>
      <c r="AG82" s="1">
        <f>AG$75-AG$81</f>
      </c>
      <c r="AH82" s="1">
        <f>AH$75-AH$81</f>
      </c>
      <c r="AI82" s="1">
        <f>AI$75-AI$81</f>
      </c>
      <c r="AJ82" s="1">
        <f>AJ$75-AJ$81</f>
      </c>
      <c r="AK82" s="1">
        <f>AK$75-AK$81</f>
      </c>
      <c r="AL82" s="1">
        <f>AL$75-AL$81</f>
      </c>
    </row>
    <row r="83">
      <c r="A83" t="str">
        <v>Share of revenue collected two months out</v>
      </c>
      <c r="B83" t="str">
        <v>collectW2</v>
      </c>
      <c r="C83" s="3">
        <f>MAX(0,MIN(1,Inputs!$B$71/30-1))</f>
      </c>
      <c r="D83" s="3">
        <f>MAX(0,MIN(1,Inputs!$B$71/30-1))</f>
      </c>
      <c r="E83" s="3">
        <f>MAX(0,MIN(1,Inputs!$B$71/30-1))</f>
      </c>
      <c r="F83" s="3">
        <f>MAX(0,MIN(1,Inputs!$B$71/30-1))</f>
      </c>
      <c r="G83" s="3">
        <f>MAX(0,MIN(1,Inputs!$B$71/30-1))</f>
      </c>
      <c r="H83" s="3">
        <f>MAX(0,MIN(1,Inputs!$B$71/30-1))</f>
      </c>
      <c r="I83" s="3">
        <f>MAX(0,MIN(1,Inputs!$B$71/30-1))</f>
      </c>
      <c r="J83" s="3">
        <f>MAX(0,MIN(1,Inputs!$B$71/30-1))</f>
      </c>
      <c r="K83" s="3">
        <f>MAX(0,MIN(1,Inputs!$B$71/30-1))</f>
      </c>
      <c r="L83" s="3">
        <f>MAX(0,MIN(1,Inputs!$B$71/30-1))</f>
      </c>
      <c r="M83" s="3">
        <f>MAX(0,MIN(1,Inputs!$B$71/30-1))</f>
      </c>
      <c r="N83" s="3">
        <f>MAX(0,MIN(1,Inputs!$B$71/30-1))</f>
      </c>
      <c r="O83" s="3">
        <f>MAX(0,MIN(1,Inputs!$B$71/30-1))</f>
      </c>
      <c r="P83" s="3">
        <f>MAX(0,MIN(1,Inputs!$B$71/30-1))</f>
      </c>
      <c r="Q83" s="3">
        <f>MAX(0,MIN(1,Inputs!$B$71/30-1))</f>
      </c>
      <c r="R83" s="3">
        <f>MAX(0,MIN(1,Inputs!$B$71/30-1))</f>
      </c>
      <c r="S83" s="3">
        <f>MAX(0,MIN(1,Inputs!$B$71/30-1))</f>
      </c>
      <c r="T83" s="3">
        <f>MAX(0,MIN(1,Inputs!$B$71/30-1))</f>
      </c>
      <c r="U83" s="3">
        <f>MAX(0,MIN(1,Inputs!$B$71/30-1))</f>
      </c>
      <c r="V83" s="3">
        <f>MAX(0,MIN(1,Inputs!$B$71/30-1))</f>
      </c>
      <c r="W83" s="3">
        <f>MAX(0,MIN(1,Inputs!$B$71/30-1))</f>
      </c>
      <c r="X83" s="3">
        <f>MAX(0,MIN(1,Inputs!$B$71/30-1))</f>
      </c>
      <c r="Y83" s="3">
        <f>MAX(0,MIN(1,Inputs!$B$71/30-1))</f>
      </c>
      <c r="Z83" s="3">
        <f>MAX(0,MIN(1,Inputs!$B$71/30-1))</f>
      </c>
      <c r="AA83" s="3">
        <f>MAX(0,MIN(1,Inputs!$B$71/30-1))</f>
      </c>
      <c r="AB83" s="3">
        <f>MAX(0,MIN(1,Inputs!$B$71/30-1))</f>
      </c>
      <c r="AC83" s="3">
        <f>MAX(0,MIN(1,Inputs!$B$71/30-1))</f>
      </c>
      <c r="AD83" s="3">
        <f>MAX(0,MIN(1,Inputs!$B$71/30-1))</f>
      </c>
      <c r="AE83" s="3">
        <f>MAX(0,MIN(1,Inputs!$B$71/30-1))</f>
      </c>
      <c r="AF83" s="3">
        <f>MAX(0,MIN(1,Inputs!$B$71/30-1))</f>
      </c>
      <c r="AG83" s="3">
        <f>MAX(0,MIN(1,Inputs!$B$71/30-1))</f>
      </c>
      <c r="AH83" s="3">
        <f>MAX(0,MIN(1,Inputs!$B$71/30-1))</f>
      </c>
      <c r="AI83" s="3">
        <f>MAX(0,MIN(1,Inputs!$B$71/30-1))</f>
      </c>
      <c r="AJ83" s="3">
        <f>MAX(0,MIN(1,Inputs!$B$71/30-1))</f>
      </c>
      <c r="AK83" s="3">
        <f>MAX(0,MIN(1,Inputs!$B$71/30-1))</f>
      </c>
      <c r="AL83" s="3">
        <f>MAX(0,MIN(1,Inputs!$B$71/30-1))</f>
      </c>
    </row>
    <row r="84">
      <c r="A84" t="str">
        <v>Collections</v>
      </c>
      <c r="B84" t="str">
        <v>collections</v>
      </c>
      <c r="C84" s="1">
        <f>0*(1-C$83)+0*C$83</f>
      </c>
      <c r="D84" s="1">
        <f>C$66*(1-D$83)+0*D$83</f>
      </c>
      <c r="E84" s="1">
        <f>D$66*(1-E$83)+C$66*E$83</f>
      </c>
      <c r="F84" s="1">
        <f>E$66*(1-F$83)+D$66*F$83</f>
      </c>
      <c r="G84" s="1">
        <f>F$66*(1-G$83)+E$66*G$83</f>
      </c>
      <c r="H84" s="1">
        <f>G$66*(1-H$83)+F$66*H$83</f>
      </c>
      <c r="I84" s="1">
        <f>H$66*(1-I$83)+G$66*I$83</f>
      </c>
      <c r="J84" s="1">
        <f>I$66*(1-J$83)+H$66*J$83</f>
      </c>
      <c r="K84" s="1">
        <f>J$66*(1-K$83)+I$66*K$83</f>
      </c>
      <c r="L84" s="1">
        <f>K$66*(1-L$83)+J$66*L$83</f>
      </c>
      <c r="M84" s="1">
        <f>L$66*(1-M$83)+K$66*M$83</f>
      </c>
      <c r="N84" s="1">
        <f>M$66*(1-N$83)+L$66*N$83</f>
      </c>
      <c r="O84" s="1">
        <f>N$66*(1-O$83)+M$66*O$83</f>
      </c>
      <c r="P84" s="1">
        <f>O$66*(1-P$83)+N$66*P$83</f>
      </c>
      <c r="Q84" s="1">
        <f>P$66*(1-Q$83)+O$66*Q$83</f>
      </c>
      <c r="R84" s="1">
        <f>Q$66*(1-R$83)+P$66*R$83</f>
      </c>
      <c r="S84" s="1">
        <f>R$66*(1-S$83)+Q$66*S$83</f>
      </c>
      <c r="T84" s="1">
        <f>S$66*(1-T$83)+R$66*T$83</f>
      </c>
      <c r="U84" s="1">
        <f>T$66*(1-U$83)+S$66*U$83</f>
      </c>
      <c r="V84" s="1">
        <f>U$66*(1-V$83)+T$66*V$83</f>
      </c>
      <c r="W84" s="1">
        <f>V$66*(1-W$83)+U$66*W$83</f>
      </c>
      <c r="X84" s="1">
        <f>W$66*(1-X$83)+V$66*X$83</f>
      </c>
      <c r="Y84" s="1">
        <f>X$66*(1-Y$83)+W$66*Y$83</f>
      </c>
      <c r="Z84" s="1">
        <f>Y$66*(1-Z$83)+X$66*Z$83</f>
      </c>
      <c r="AA84" s="1">
        <f>Z$66*(1-AA$83)+Y$66*AA$83</f>
      </c>
      <c r="AB84" s="1">
        <f>AA$66*(1-AB$83)+Z$66*AB$83</f>
      </c>
      <c r="AC84" s="1">
        <f>AB$66*(1-AC$83)+AA$66*AC$83</f>
      </c>
      <c r="AD84" s="1">
        <f>AC$66*(1-AD$83)+AB$66*AD$83</f>
      </c>
      <c r="AE84" s="1">
        <f>AD$66*(1-AE$83)+AC$66*AE$83</f>
      </c>
      <c r="AF84" s="1">
        <f>AE$66*(1-AF$83)+AD$66*AF$83</f>
      </c>
      <c r="AG84" s="1">
        <f>AF$66*(1-AG$83)+AE$66*AG$83</f>
      </c>
      <c r="AH84" s="1">
        <f>AG$66*(1-AH$83)+AF$66*AH$83</f>
      </c>
      <c r="AI84" s="1">
        <f>AH$66*(1-AI$83)+AG$66*AI$83</f>
      </c>
      <c r="AJ84" s="1">
        <f>AI$66*(1-AJ$83)+AH$66*AJ$83</f>
      </c>
      <c r="AK84" s="1">
        <f>AJ$66*(1-AK$83)+AI$66*AK$83</f>
      </c>
      <c r="AL84" s="1">
        <f>AK$66*(1-AL$83)+AJ$66*AL$83</f>
      </c>
    </row>
    <row r="85">
      <c r="A85" t="str">
        <v>Cash out</v>
      </c>
      <c r="B85" t="str">
        <v>cashOut</v>
      </c>
      <c r="C85" s="1">
        <f>C$70+C$73+C$74+C$81</f>
      </c>
      <c r="D85" s="1">
        <f>D$70+D$73+D$74+D$81</f>
      </c>
      <c r="E85" s="1">
        <f>E$70+E$73+E$74+E$81</f>
      </c>
      <c r="F85" s="1">
        <f>F$70+F$73+F$74+F$81</f>
      </c>
      <c r="G85" s="1">
        <f>G$70+G$73+G$74+G$81</f>
      </c>
      <c r="H85" s="1">
        <f>H$70+H$73+H$74+H$81</f>
      </c>
      <c r="I85" s="1">
        <f>I$70+I$73+I$74+I$81</f>
      </c>
      <c r="J85" s="1">
        <f>J$70+J$73+J$74+J$81</f>
      </c>
      <c r="K85" s="1">
        <f>K$70+K$73+K$74+K$81</f>
      </c>
      <c r="L85" s="1">
        <f>L$70+L$73+L$74+L$81</f>
      </c>
      <c r="M85" s="1">
        <f>M$70+M$73+M$74+M$81</f>
      </c>
      <c r="N85" s="1">
        <f>N$70+N$73+N$74+N$81</f>
      </c>
      <c r="O85" s="1">
        <f>O$70+O$73+O$74+O$81</f>
      </c>
      <c r="P85" s="1">
        <f>P$70+P$73+P$74+P$81</f>
      </c>
      <c r="Q85" s="1">
        <f>Q$70+Q$73+Q$74+Q$81</f>
      </c>
      <c r="R85" s="1">
        <f>R$70+R$73+R$74+R$81</f>
      </c>
      <c r="S85" s="1">
        <f>S$70+S$73+S$74+S$81</f>
      </c>
      <c r="T85" s="1">
        <f>T$70+T$73+T$74+T$81</f>
      </c>
      <c r="U85" s="1">
        <f>U$70+U$73+U$74+U$81</f>
      </c>
      <c r="V85" s="1">
        <f>V$70+V$73+V$74+V$81</f>
      </c>
      <c r="W85" s="1">
        <f>W$70+W$73+W$74+W$81</f>
      </c>
      <c r="X85" s="1">
        <f>X$70+X$73+X$74+X$81</f>
      </c>
      <c r="Y85" s="1">
        <f>Y$70+Y$73+Y$74+Y$81</f>
      </c>
      <c r="Z85" s="1">
        <f>Z$70+Z$73+Z$74+Z$81</f>
      </c>
      <c r="AA85" s="1">
        <f>AA$70+AA$73+AA$74+AA$81</f>
      </c>
      <c r="AB85" s="1">
        <f>AB$70+AB$73+AB$74+AB$81</f>
      </c>
      <c r="AC85" s="1">
        <f>AC$70+AC$73+AC$74+AC$81</f>
      </c>
      <c r="AD85" s="1">
        <f>AD$70+AD$73+AD$74+AD$81</f>
      </c>
      <c r="AE85" s="1">
        <f>AE$70+AE$73+AE$74+AE$81</f>
      </c>
      <c r="AF85" s="1">
        <f>AF$70+AF$73+AF$74+AF$81</f>
      </c>
      <c r="AG85" s="1">
        <f>AG$70+AG$73+AG$74+AG$81</f>
      </c>
      <c r="AH85" s="1">
        <f>AH$70+AH$73+AH$74+AH$81</f>
      </c>
      <c r="AI85" s="1">
        <f>AI$70+AI$73+AI$74+AI$81</f>
      </c>
      <c r="AJ85" s="1">
        <f>AJ$70+AJ$73+AJ$74+AJ$81</f>
      </c>
      <c r="AK85" s="1">
        <f>AK$70+AK$73+AK$74+AK$81</f>
      </c>
      <c r="AL85" s="1">
        <f>AL$70+AL$73+AL$74+AL$81</f>
      </c>
    </row>
    <row r="86">
      <c r="A86" t="str">
        <v>Net cash</v>
      </c>
      <c r="B86" t="str">
        <v>netCash</v>
      </c>
      <c r="C86" s="1">
        <f>C$84-C$85</f>
      </c>
      <c r="D86" s="1">
        <f>D$84-D$85</f>
      </c>
      <c r="E86" s="1">
        <f>E$84-E$85</f>
      </c>
      <c r="F86" s="1">
        <f>F$84-F$85</f>
      </c>
      <c r="G86" s="1">
        <f>G$84-G$85</f>
      </c>
      <c r="H86" s="1">
        <f>H$84-H$85</f>
      </c>
      <c r="I86" s="1">
        <f>I$84-I$85</f>
      </c>
      <c r="J86" s="1">
        <f>J$84-J$85</f>
      </c>
      <c r="K86" s="1">
        <f>K$84-K$85</f>
      </c>
      <c r="L86" s="1">
        <f>L$84-L$85</f>
      </c>
      <c r="M86" s="1">
        <f>M$84-M$85</f>
      </c>
      <c r="N86" s="1">
        <f>N$84-N$85</f>
      </c>
      <c r="O86" s="1">
        <f>O$84-O$85</f>
      </c>
      <c r="P86" s="1">
        <f>P$84-P$85</f>
      </c>
      <c r="Q86" s="1">
        <f>Q$84-Q$85</f>
      </c>
      <c r="R86" s="1">
        <f>R$84-R$85</f>
      </c>
      <c r="S86" s="1">
        <f>S$84-S$85</f>
      </c>
      <c r="T86" s="1">
        <f>T$84-T$85</f>
      </c>
      <c r="U86" s="1">
        <f>U$84-U$85</f>
      </c>
      <c r="V86" s="1">
        <f>V$84-V$85</f>
      </c>
      <c r="W86" s="1">
        <f>W$84-W$85</f>
      </c>
      <c r="X86" s="1">
        <f>X$84-X$85</f>
      </c>
      <c r="Y86" s="1">
        <f>Y$84-Y$85</f>
      </c>
      <c r="Z86" s="1">
        <f>Z$84-Z$85</f>
      </c>
      <c r="AA86" s="1">
        <f>AA$84-AA$85</f>
      </c>
      <c r="AB86" s="1">
        <f>AB$84-AB$85</f>
      </c>
      <c r="AC86" s="1">
        <f>AC$84-AC$85</f>
      </c>
      <c r="AD86" s="1">
        <f>AD$84-AD$85</f>
      </c>
      <c r="AE86" s="1">
        <f>AE$84-AE$85</f>
      </c>
      <c r="AF86" s="1">
        <f>AF$84-AF$85</f>
      </c>
      <c r="AG86" s="1">
        <f>AG$84-AG$85</f>
      </c>
      <c r="AH86" s="1">
        <f>AH$84-AH$85</f>
      </c>
      <c r="AI86" s="1">
        <f>AI$84-AI$85</f>
      </c>
      <c r="AJ86" s="1">
        <f>AJ$84-AJ$85</f>
      </c>
      <c r="AK86" s="1">
        <f>AK$84-AK$85</f>
      </c>
      <c r="AL86" s="1">
        <f>AL$84-AL$85</f>
      </c>
    </row>
    <row r="87">
      <c r="A87" t="str">
        <v>Cumulative cash</v>
      </c>
      <c r="B87" t="str">
        <v>cumulativeCash</v>
      </c>
      <c r="C87" s="1">
        <f>0+C$86</f>
      </c>
      <c r="D87" s="1">
        <f>C$87+D$86</f>
      </c>
      <c r="E87" s="1">
        <f>D$87+E$86</f>
      </c>
      <c r="F87" s="1">
        <f>E$87+F$86</f>
      </c>
      <c r="G87" s="1">
        <f>F$87+G$86</f>
      </c>
      <c r="H87" s="1">
        <f>G$87+H$86</f>
      </c>
      <c r="I87" s="1">
        <f>H$87+I$86</f>
      </c>
      <c r="J87" s="1">
        <f>I$87+J$86</f>
      </c>
      <c r="K87" s="1">
        <f>J$87+K$86</f>
      </c>
      <c r="L87" s="1">
        <f>K$87+L$86</f>
      </c>
      <c r="M87" s="1">
        <f>L$87+M$86</f>
      </c>
      <c r="N87" s="1">
        <f>M$87+N$86</f>
      </c>
      <c r="O87" s="1">
        <f>N$87+O$86</f>
      </c>
      <c r="P87" s="1">
        <f>O$87+P$86</f>
      </c>
      <c r="Q87" s="1">
        <f>P$87+Q$86</f>
      </c>
      <c r="R87" s="1">
        <f>Q$87+R$86</f>
      </c>
      <c r="S87" s="1">
        <f>R$87+S$86</f>
      </c>
      <c r="T87" s="1">
        <f>S$87+T$86</f>
      </c>
      <c r="U87" s="1">
        <f>T$87+U$86</f>
      </c>
      <c r="V87" s="1">
        <f>U$87+V$86</f>
      </c>
      <c r="W87" s="1">
        <f>V$87+W$86</f>
      </c>
      <c r="X87" s="1">
        <f>W$87+X$86</f>
      </c>
      <c r="Y87" s="1">
        <f>X$87+Y$86</f>
      </c>
      <c r="Z87" s="1">
        <f>Y$87+Z$86</f>
      </c>
      <c r="AA87" s="1">
        <f>Z$87+AA$86</f>
      </c>
      <c r="AB87" s="1">
        <f>AA$87+AB$86</f>
      </c>
      <c r="AC87" s="1">
        <f>AB$87+AC$86</f>
      </c>
      <c r="AD87" s="1">
        <f>AC$87+AD$86</f>
      </c>
      <c r="AE87" s="1">
        <f>AD$87+AE$86</f>
      </c>
      <c r="AF87" s="1">
        <f>AE$87+AF$86</f>
      </c>
      <c r="AG87" s="1">
        <f>AF$87+AG$86</f>
      </c>
      <c r="AH87" s="1">
        <f>AG$87+AH$86</f>
      </c>
      <c r="AI87" s="1">
        <f>AH$87+AI$86</f>
      </c>
      <c r="AJ87" s="1">
        <f>AI$87+AJ$86</f>
      </c>
      <c r="AK87" s="1">
        <f>AJ$87+AK$86</f>
      </c>
      <c r="AL87" s="1">
        <f>AK$87+AL$86</f>
      </c>
    </row>
    <row r="88">
      <c r="A88" t="str">
        <v>Revenue left on the table (declined assessments x CLV)</v>
      </c>
      <c r="B88" t="str">
        <v>leftOnTable</v>
      </c>
      <c r="C88" s="1">
        <f>C$18*CLV!$B$3</f>
      </c>
      <c r="D88" s="1">
        <f>D$18*CLV!$B$3</f>
      </c>
      <c r="E88" s="1">
        <f>E$18*CLV!$B$3</f>
      </c>
      <c r="F88" s="1">
        <f>F$18*CLV!$B$3</f>
      </c>
      <c r="G88" s="1">
        <f>G$18*CLV!$B$3</f>
      </c>
      <c r="H88" s="1">
        <f>H$18*CLV!$B$3</f>
      </c>
      <c r="I88" s="1">
        <f>I$18*CLV!$B$3</f>
      </c>
      <c r="J88" s="1">
        <f>J$18*CLV!$B$3</f>
      </c>
      <c r="K88" s="1">
        <f>K$18*CLV!$B$3</f>
      </c>
      <c r="L88" s="1">
        <f>L$18*CLV!$B$3</f>
      </c>
      <c r="M88" s="1">
        <f>M$18*CLV!$B$3</f>
      </c>
      <c r="N88" s="1">
        <f>N$18*CLV!$B$3</f>
      </c>
      <c r="O88" s="1">
        <f>O$18*CLV!$B$3</f>
      </c>
      <c r="P88" s="1">
        <f>P$18*CLV!$B$3</f>
      </c>
      <c r="Q88" s="1">
        <f>Q$18*CLV!$B$3</f>
      </c>
      <c r="R88" s="1">
        <f>R$18*CLV!$B$3</f>
      </c>
      <c r="S88" s="1">
        <f>S$18*CLV!$B$3</f>
      </c>
      <c r="T88" s="1">
        <f>T$18*CLV!$B$3</f>
      </c>
      <c r="U88" s="1">
        <f>U$18*CLV!$B$3</f>
      </c>
      <c r="V88" s="1">
        <f>V$18*CLV!$B$3</f>
      </c>
      <c r="W88" s="1">
        <f>W$18*CLV!$B$3</f>
      </c>
      <c r="X88" s="1">
        <f>X$18*CLV!$B$3</f>
      </c>
      <c r="Y88" s="1">
        <f>Y$18*CLV!$B$3</f>
      </c>
      <c r="Z88" s="1">
        <f>Z$18*CLV!$B$3</f>
      </c>
      <c r="AA88" s="1">
        <f>AA$18*CLV!$B$3</f>
      </c>
      <c r="AB88" s="1">
        <f>AB$18*CLV!$B$3</f>
      </c>
      <c r="AC88" s="1">
        <f>AC$18*CLV!$B$3</f>
      </c>
      <c r="AD88" s="1">
        <f>AD$18*CLV!$B$3</f>
      </c>
      <c r="AE88" s="1">
        <f>AE$18*CLV!$B$3</f>
      </c>
      <c r="AF88" s="1">
        <f>AF$18*CLV!$B$3</f>
      </c>
      <c r="AG88" s="1">
        <f>AG$18*CLV!$B$3</f>
      </c>
      <c r="AH88" s="1">
        <f>AH$18*CLV!$B$3</f>
      </c>
      <c r="AI88" s="1">
        <f>AI$18*CLV!$B$3</f>
      </c>
      <c r="AJ88" s="1">
        <f>AJ$18*CLV!$B$3</f>
      </c>
      <c r="AK88" s="1">
        <f>AK$18*CLV!$B$3</f>
      </c>
      <c r="AL88" s="1">
        <f>AL$18*CLV!$B$3</f>
      </c>
    </row>
  </sheetData>
  <ignoredErrors>
    <ignoredError numberStoredAsText="1" sqref="A1:AL8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5"/>
  <sheetViews>
    <sheetView workbookViewId="0"/>
  </sheetViews>
  <cols>
    <col min="1" max="1" width="48.83203125" customWidth="1"/>
    <col min="2" max="2" width="18.83203125" customWidth="1"/>
    <col min="3" max="3" width="18.83203125" customWidth="1"/>
    <col min="4" max="4" width="40.83203125" customWidth="1"/>
    <col min="5" max="5" width="28.83203125" customWidth="1"/>
    <col min="6" max="6" width="10.83203125" customWidth="1"/>
  </cols>
  <sheetData>
    <row r="1">
      <c r="A1" t="str">
        <v>Line item</v>
      </c>
      <c r="B1" t="str">
        <v>Year 1</v>
      </c>
      <c r="C1" t="str">
        <v>Year 2</v>
      </c>
      <c r="D1" t="str">
        <v>Year 3</v>
      </c>
    </row>
    <row r="2">
      <c r="A2" t="str">
        <v>Revenue: Readiness Assessment</v>
      </c>
      <c r="B2" s="1">
        <f>SUM(Monthly!C$59:N$59)</f>
      </c>
      <c r="C2" s="1">
        <f>SUM(Monthly!O$59:Z$59)</f>
      </c>
      <c r="D2" s="1">
        <f>SUM(Monthly!AA$59:AL$59)</f>
      </c>
    </row>
    <row r="3">
      <c r="A3" t="str">
        <v>Revenue: Prioritization Sprint</v>
      </c>
      <c r="B3" s="1">
        <f>SUM(Monthly!C$60:N$60)</f>
      </c>
      <c r="C3" s="1">
        <f>SUM(Monthly!O$60:Z$60)</f>
      </c>
      <c r="D3" s="1">
        <f>SUM(Monthly!AA$60:AL$60)</f>
      </c>
    </row>
    <row r="4">
      <c r="A4" t="str">
        <v>Revenue: Remediation Retainer</v>
      </c>
      <c r="B4" s="1">
        <f>SUM(Monthly!C$61:N$61)</f>
      </c>
      <c r="C4" s="1">
        <f>SUM(Monthly!O$61:Z$61)</f>
      </c>
      <c r="D4" s="1">
        <f>SUM(Monthly!AA$61:AL$61)</f>
      </c>
    </row>
    <row r="5">
      <c r="A5" t="str">
        <v>Revenue: Board Readout</v>
      </c>
      <c r="B5" s="1">
        <f>SUM(Monthly!C$62:N$62)</f>
      </c>
      <c r="C5" s="1">
        <f>SUM(Monthly!O$62:Z$62)</f>
      </c>
      <c r="D5" s="1">
        <f>SUM(Monthly!AA$62:AL$62)</f>
      </c>
    </row>
    <row r="6">
      <c r="A6" t="str">
        <v>Revenue: Falcon Complete Add-on</v>
      </c>
      <c r="B6" s="1">
        <f>SUM(Monthly!C$63:N$63)</f>
      </c>
      <c r="C6" s="1">
        <f>SUM(Monthly!O$63:Z$63)</f>
      </c>
      <c r="D6" s="1">
        <f>SUM(Monthly!AA$63:AL$63)</f>
      </c>
    </row>
    <row r="7">
      <c r="A7" t="str">
        <v>Gross revenue</v>
      </c>
      <c r="B7" s="1">
        <f>SUM(Monthly!C$64:N$64)</f>
      </c>
      <c r="C7" s="1">
        <f>SUM(Monthly!O$64:Z$64)</f>
      </c>
      <c r="D7" s="1">
        <f>SUM(Monthly!AA$64:AL$64)</f>
      </c>
    </row>
    <row r="8">
      <c r="A8" t="str">
        <v>Falcon Flex program margin</v>
      </c>
      <c r="B8" s="1">
        <f>SUM(Monthly!C$65:N$65)</f>
      </c>
      <c r="C8" s="1">
        <f>SUM(Monthly!O$65:Z$65)</f>
      </c>
      <c r="D8" s="1">
        <f>SUM(Monthly!AA$65:AL$65)</f>
      </c>
    </row>
    <row r="9">
      <c r="A9" t="str">
        <v>Net revenue</v>
      </c>
      <c r="B9" s="1">
        <f>SUM(Monthly!C$66:N$66)</f>
      </c>
      <c r="C9" s="1">
        <f>SUM(Monthly!O$66:Z$66)</f>
      </c>
      <c r="D9" s="1">
        <f>SUM(Monthly!AA$66:AL$66)</f>
      </c>
    </row>
    <row r="10">
      <c r="A10" t="str">
        <v>Direct cost</v>
      </c>
      <c r="B10" s="1">
        <f>SUM(Monthly!C$70:N$70)</f>
      </c>
      <c r="C10" s="1">
        <f>SUM(Monthly!O$70:Z$70)</f>
      </c>
      <c r="D10" s="1">
        <f>SUM(Monthly!AA$70:AL$70)</f>
      </c>
    </row>
    <row r="11">
      <c r="A11" t="str">
        <v>Gross margin</v>
      </c>
      <c r="B11" s="1">
        <f>SUM(Monthly!C$71:N$71)</f>
      </c>
      <c r="C11" s="1">
        <f>SUM(Monthly!O$71:Z$71)</f>
      </c>
      <c r="D11" s="1">
        <f>SUM(Monthly!AA$71:AL$71)</f>
      </c>
    </row>
    <row r="12">
      <c r="A12" t="str">
        <v>Gross margin %</v>
      </c>
      <c r="B12" s="3">
        <f>IF(SUM(Monthly!C$66:N$66)&gt;0,SUM(Monthly!C$71:N$71)/SUM(Monthly!C$66:N$66),0)</f>
      </c>
      <c r="C12" s="3">
        <f>IF(SUM(Monthly!O$66:Z$66)&gt;0,SUM(Monthly!O$71:Z$71)/SUM(Monthly!O$66:Z$66),0)</f>
      </c>
      <c r="D12" s="3">
        <f>IF(SUM(Monthly!AA$66:AL$66)&gt;0,SUM(Monthly!AA$71:AL$71)/SUM(Monthly!AA$66:AL$66),0)</f>
      </c>
    </row>
    <row r="13">
      <c r="A13" t="str">
        <v>Sales/SE overhead</v>
      </c>
      <c r="B13" s="1">
        <f>SUM(Monthly!C$73:N$73)</f>
      </c>
      <c r="C13" s="1">
        <f>SUM(Monthly!O$73:Z$73)</f>
      </c>
      <c r="D13" s="1">
        <f>SUM(Monthly!AA$73:AL$73)</f>
      </c>
    </row>
    <row r="14">
      <c r="A14" t="str">
        <v>Travel</v>
      </c>
      <c r="B14" s="1">
        <f>SUM(Monthly!C$74:N$74)</f>
      </c>
      <c r="C14" s="1">
        <f>SUM(Monthly!O$74:Z$74)</f>
      </c>
      <c r="D14" s="1">
        <f>SUM(Monthly!AA$74:AL$74)</f>
      </c>
    </row>
    <row r="15">
      <c r="A15" t="str">
        <v>Contribution margin</v>
      </c>
      <c r="B15" s="1">
        <f>SUM(Monthly!C$75:N$75)</f>
      </c>
      <c r="C15" s="1">
        <f>SUM(Monthly!O$75:Z$75)</f>
      </c>
      <c r="D15" s="1">
        <f>SUM(Monthly!AA$75:AL$75)</f>
      </c>
    </row>
    <row r="16">
      <c r="A16" t="str">
        <v>Fixed opex</v>
      </c>
      <c r="B16" s="1">
        <f>SUM(Monthly!C$81:N$81)</f>
      </c>
      <c r="C16" s="1">
        <f>SUM(Monthly!O$81:Z$81)</f>
      </c>
      <c r="D16" s="1">
        <f>SUM(Monthly!AA$81:AL$81)</f>
      </c>
    </row>
    <row r="17">
      <c r="A17" t="str">
        <v>EBITDA</v>
      </c>
      <c r="B17" s="1">
        <f>SUM(Monthly!C$82:N$82)</f>
      </c>
      <c r="C17" s="1">
        <f>SUM(Monthly!O$82:Z$82)</f>
      </c>
      <c r="D17" s="1">
        <f>SUM(Monthly!AA$82:AL$82)</f>
      </c>
    </row>
    <row r="18">
      <c r="A18" t="str">
        <v>EBITDA %</v>
      </c>
      <c r="B18" s="3">
        <f>IF(SUM(Monthly!C$66:N$66)&gt;0,SUM(Monthly!C$82:N$82)/SUM(Monthly!C$66:N$66),0)</f>
      </c>
      <c r="C18" s="3">
        <f>IF(SUM(Monthly!O$66:Z$66)&gt;0,SUM(Monthly!O$82:Z$82)/SUM(Monthly!O$66:Z$66),0)</f>
      </c>
      <c r="D18" s="3">
        <f>IF(SUM(Monthly!AA$66:AL$66)&gt;0,SUM(Monthly!AA$82:AL$82)/SUM(Monthly!AA$66:AL$66),0)</f>
      </c>
    </row>
    <row r="19">
      <c r="A19" t="str">
        <v>Ending advisors</v>
      </c>
      <c r="B19" s="2">
        <f>Monthly!N$7</f>
      </c>
      <c r="C19" s="2">
        <f>Monthly!Z$7</f>
      </c>
      <c r="D19" s="2">
        <f>Monthly!AL$7</f>
      </c>
    </row>
    <row r="20">
      <c r="A20" t="str">
        <v>Average utilization</v>
      </c>
      <c r="B20" s="3">
        <f>AVERAGE(Monthly!C$54:N$54)</f>
      </c>
      <c r="C20" s="3">
        <f>AVERAGE(Monthly!O$54:Z$54)</f>
      </c>
      <c r="D20" s="3">
        <f>AVERAGE(Monthly!AA$54:AL$54)</f>
      </c>
    </row>
    <row r="21">
      <c r="A21" t="str">
        <v>Assessments accepted</v>
      </c>
      <c r="B21" s="4">
        <f>SUM(Monthly!C$17:N$17)</f>
      </c>
      <c r="C21" s="4">
        <f>SUM(Monthly!O$17:Z$17)</f>
      </c>
      <c r="D21" s="4">
        <f>SUM(Monthly!AA$17:AL$17)</f>
      </c>
    </row>
    <row r="22">
      <c r="A22" t="str">
        <v>Assessments declined</v>
      </c>
      <c r="B22" s="4">
        <f>SUM(Monthly!C$18:N$18)</f>
      </c>
      <c r="C22" s="4">
        <f>SUM(Monthly!O$18:Z$18)</f>
      </c>
      <c r="D22" s="4">
        <f>SUM(Monthly!AA$18:AL$18)</f>
      </c>
    </row>
    <row r="23">
      <c r="A23" t="str">
        <v>Revenue left on the table</v>
      </c>
      <c r="B23" s="1">
        <f>SUM(Monthly!C$88:N$88)</f>
      </c>
      <c r="C23" s="1">
        <f>SUM(Monthly!O$88:Z$88)</f>
      </c>
      <c r="D23" s="1">
        <f>SUM(Monthly!AA$88:AL$88)</f>
      </c>
    </row>
    <row r="24">
      <c r="A24" t="str">
        <v>Net cash</v>
      </c>
      <c r="B24" s="1">
        <f>SUM(Monthly!C$86:N$86)</f>
      </c>
      <c r="C24" s="1">
        <f>SUM(Monthly!O$86:Z$86)</f>
      </c>
      <c r="D24" s="1">
        <f>SUM(Monthly!AA$86:AL$86)</f>
      </c>
    </row>
    <row r="25">
      <c r="A25" t="str">
        <v>Ending cumulative cash</v>
      </c>
      <c r="B25" s="1">
        <f>Monthly!N$87</f>
      </c>
      <c r="C25" s="1">
        <f>Monthly!Z$87</f>
      </c>
      <c r="D25" s="1">
        <f>Monthly!AL$87</f>
      </c>
    </row>
  </sheetData>
  <ignoredErrors>
    <ignoredError numberStoredAsText="1" sqref="A1:D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cols>
    <col min="1" max="1" width="48.83203125" customWidth="1"/>
    <col min="2" max="2" width="18.83203125" customWidth="1"/>
    <col min="3" max="3" width="18.83203125" customWidth="1"/>
    <col min="4" max="4" width="40.83203125" customWidth="1"/>
    <col min="5" max="5" width="28.83203125" customWidth="1"/>
    <col min="6" max="6" width="10.83203125" customWidth="1"/>
  </cols>
  <sheetData>
    <row r="1">
      <c r="A1" t="str">
        <v>Metric</v>
      </c>
      <c r="B1" t="str">
        <v>Value</v>
      </c>
      <c r="C1" t="str">
        <v>Note</v>
      </c>
    </row>
    <row r="2">
      <c r="A2" t="str">
        <v>Year 1 gross revenue</v>
      </c>
      <c r="B2" s="1">
        <f>Annual!B7</f>
      </c>
      <c r="C2" t="str">
        <v/>
      </c>
    </row>
    <row r="3">
      <c r="A3" t="str">
        <v>Year 2 gross revenue</v>
      </c>
      <c r="B3" s="1">
        <f>Annual!C7</f>
      </c>
      <c r="C3" t="str">
        <v/>
      </c>
    </row>
    <row r="4">
      <c r="A4" t="str">
        <v>Year 3 gross revenue</v>
      </c>
      <c r="B4" s="1">
        <f>Annual!D7</f>
      </c>
      <c r="C4" t="str">
        <v/>
      </c>
    </row>
    <row r="5">
      <c r="A5" t="str">
        <v>Year 1 EBITDA</v>
      </c>
      <c r="B5" s="1">
        <f>Annual!B17</f>
      </c>
      <c r="C5" t="str">
        <v/>
      </c>
    </row>
    <row r="6">
      <c r="A6" t="str">
        <v>Year 2 EBITDA</v>
      </c>
      <c r="B6" s="1">
        <f>Annual!C17</f>
      </c>
      <c r="C6" t="str">
        <v/>
      </c>
    </row>
    <row r="7">
      <c r="A7" t="str">
        <v>Year 3 EBITDA</v>
      </c>
      <c r="B7" s="1">
        <f>Annual!D17</f>
      </c>
      <c r="C7" t="str">
        <v/>
      </c>
    </row>
    <row r="8">
      <c r="A8" t="str">
        <v>Peak funding requirement</v>
      </c>
      <c r="B8" s="1">
        <f>MAX(0,-MIN(Monthly!C$87:AL$87))</f>
      </c>
      <c r="C8" t="str">
        <v>Most negative cumulative cash</v>
      </c>
    </row>
    <row r="9">
      <c r="A9" t="str">
        <v>Peak funding month</v>
      </c>
      <c r="B9" s="2">
        <f>MATCH(MIN(Monthly!C$87:AL$87),Monthly!C$87:AL$87,0)</f>
      </c>
      <c r="C9" t="str">
        <v/>
      </c>
    </row>
    <row r="10">
      <c r="A10" t="str">
        <v>Investment ask</v>
      </c>
      <c r="B10" s="1">
        <f>CEILING(B8*1.2,25000)</f>
      </c>
      <c r="C10" t="str">
        <v>Peak funding plus 20% contingency, rounded up to $25,000</v>
      </c>
    </row>
    <row r="11">
      <c r="A11" t="str">
        <v>Cash break-even month</v>
      </c>
      <c r="B11" s="2">
        <f>IFERROR(MINIFS(Monthly!C$2:AL$2,Monthly!C$2:AL$2,"&gt;"&amp;B9,Monthly!C$87:AL$87,"&gt;=0"),"beyond horizon")</f>
      </c>
      <c r="C11" t="str">
        <v>First month after the peak with cumulative cash at or above zero</v>
      </c>
    </row>
    <row r="12">
      <c r="A12" t="str">
        <v>Ending advisors</v>
      </c>
      <c r="B12" s="2">
        <f>Annual!D19</f>
      </c>
      <c r="C12" t="str">
        <v/>
      </c>
    </row>
    <row r="13">
      <c r="A13" t="str">
        <v>Total hires</v>
      </c>
      <c r="B13" s="2">
        <f>SUM(Monthly!C$5:AL$5)</f>
      </c>
      <c r="C13" t="str">
        <v/>
      </c>
    </row>
    <row r="14">
      <c r="A14" t="str">
        <v>Assessments declined (36 months)</v>
      </c>
      <c r="B14" s="4">
        <f>SUM(Annual!B22:D22)</f>
      </c>
      <c r="C14" t="str">
        <v/>
      </c>
    </row>
    <row r="15">
      <c r="A15" t="str">
        <v>Revenue left on the table (36 months)</v>
      </c>
      <c r="B15" s="1">
        <f>SUM(Annual!B23:D23)</f>
      </c>
      <c r="C15" t="str">
        <v>Declined assessments valued at 36-month CLV</v>
      </c>
    </row>
    <row r="16">
      <c r="A16" t="str">
        <v>Cumulative cash at month 36</v>
      </c>
      <c r="B16" s="1">
        <f>Annual!D25</f>
      </c>
      <c r="C16" t="str">
        <v/>
      </c>
    </row>
  </sheetData>
  <ignoredErrors>
    <ignoredError numberStoredAsText="1" sqref="A1:C1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cols>
    <col min="1" max="1" width="48.83203125" customWidth="1"/>
    <col min="2" max="2" width="18.83203125" customWidth="1"/>
    <col min="3" max="3" width="18.83203125" customWidth="1"/>
    <col min="4" max="4" width="40.83203125" customWidth="1"/>
    <col min="5" max="5" width="28.83203125" customWidth="1"/>
    <col min="6" max="6" width="10.83203125" customWidth="1"/>
  </cols>
  <sheetData>
    <row r="1">
      <c r="A1" t="str">
        <v>Offering</v>
      </c>
      <c r="B1" t="str">
        <v>Revenue</v>
      </c>
      <c r="C1" t="str">
        <v>Basis</v>
      </c>
      <c r="D1" t="str">
        <v>Delivery hours</v>
      </c>
      <c r="E1" t="str">
        <v>Delivery cost</v>
      </c>
      <c r="F1" t="str">
        <v>Gross margin</v>
      </c>
      <c r="G1" t="str">
        <v>Gross margin %</v>
      </c>
      <c r="H1" t="str">
        <v>Margin per advisor-hour</v>
      </c>
      <c r="I1" t="str">
        <v>Effective rate</v>
      </c>
    </row>
    <row r="2">
      <c r="A2" t="str">
        <v>Readiness Assessment</v>
      </c>
      <c r="B2" s="1">
        <f>Inputs!$B$33</f>
      </c>
      <c r="C2" t="str">
        <v>per engagement</v>
      </c>
      <c r="D2" s="4">
        <f>Inputs!$B$45</f>
      </c>
      <c r="E2" s="1">
        <f>D2*Inputs!$B$3/(Inputs!$B$6*Inputs!$B$10)+0</f>
      </c>
      <c r="F2" s="1">
        <f>B2-E2</f>
      </c>
      <c r="G2" s="3">
        <f>IF(B2&gt;0,F2/B2,0)</f>
      </c>
      <c r="H2" s="1">
        <f>IF(D2&gt;0,F2/D2,0)</f>
      </c>
      <c r="I2" s="1">
        <f>IF(D2&gt;0,B2/D2,0)</f>
      </c>
    </row>
    <row r="3">
      <c r="A3" t="str">
        <v>Prioritization &amp; Attack Narrative Sprint</v>
      </c>
      <c r="B3" s="1">
        <f>Inputs!$B$34</f>
      </c>
      <c r="C3" t="str">
        <v>per engagement</v>
      </c>
      <c r="D3" s="4">
        <f>Inputs!$B$46</f>
      </c>
      <c r="E3" s="1">
        <f>D3*Inputs!$B$3/(Inputs!$B$6*Inputs!$B$10)+0</f>
      </c>
      <c r="F3" s="1">
        <f>B3-E3</f>
      </c>
      <c r="G3" s="3">
        <f>IF(B3&gt;0,F3/B3,0)</f>
      </c>
      <c r="H3" s="1">
        <f>IF(D3&gt;0,F3/D3,0)</f>
      </c>
      <c r="I3" s="1">
        <f>IF(D3&gt;0,B3/D3,0)</f>
      </c>
    </row>
    <row r="4">
      <c r="A4" t="str">
        <v>Remediation Program Retainer</v>
      </c>
      <c r="B4" s="1">
        <f>Monthly!C$27</f>
      </c>
      <c r="C4" t="str">
        <v>per month</v>
      </c>
      <c r="D4" s="4">
        <f>Monthly!C$26</f>
      </c>
      <c r="E4" s="1">
        <f>D4*Inputs!$B$3/(Inputs!$B$6*Inputs!$B$10)+0</f>
      </c>
      <c r="F4" s="1">
        <f>B4-E4</f>
      </c>
      <c r="G4" s="3">
        <f>IF(B4&gt;0,F4/B4,0)</f>
      </c>
      <c r="H4" s="1">
        <f>IF(D4&gt;0,F4/D4,0)</f>
      </c>
      <c r="I4" s="1">
        <f>IF(D4&gt;0,B4/D4,0)</f>
      </c>
    </row>
    <row r="5">
      <c r="A5" t="str">
        <v>Board Readout &amp; Insurance Attestation</v>
      </c>
      <c r="B5" s="1">
        <f>Inputs!$B$38</f>
      </c>
      <c r="C5" t="str">
        <v>per engagement</v>
      </c>
      <c r="D5" s="4">
        <f>Inputs!$B$50</f>
      </c>
      <c r="E5" s="1">
        <f>D5*Inputs!$B$3/(Inputs!$B$6*Inputs!$B$10)+0</f>
      </c>
      <c r="F5" s="1">
        <f>B5-E5</f>
      </c>
      <c r="G5" s="3">
        <f>IF(B5&gt;0,F5/B5,0)</f>
      </c>
      <c r="H5" s="1">
        <f>IF(D5&gt;0,F5/D5,0)</f>
      </c>
      <c r="I5" s="1">
        <f>IF(D5&gt;0,B5/D5,0)</f>
      </c>
    </row>
    <row r="6">
      <c r="A6" t="str">
        <v>Falcon Complete Continuous-Remediation Add-on</v>
      </c>
      <c r="B6" s="1">
        <f>Inputs!$B$39</f>
      </c>
      <c r="C6" t="str">
        <v>per month</v>
      </c>
      <c r="D6" s="4">
        <f>Inputs!$B$51</f>
      </c>
      <c r="E6" s="1">
        <f>D6*Inputs!$B$3/(Inputs!$B$6*Inputs!$B$10)+Inputs!$B$39*Inputs!$B$52</f>
      </c>
      <c r="F6" s="1">
        <f>B6-E6</f>
      </c>
      <c r="G6" s="3">
        <f>IF(B6&gt;0,F6/B6,0)</f>
      </c>
      <c r="H6" s="1">
        <f>IF(D6&gt;0,F6/D6,0)</f>
      </c>
      <c r="I6" s="1">
        <f>IF(D6&gt;0,B6/D6,0)</f>
      </c>
    </row>
    <row r="8">
      <c r="A8" t="str">
        <v>Cost per billable advisor-hour</v>
      </c>
      <c r="B8" s="1">
        <f>Inputs!$B$3/(Inputs!$B$6*Inputs!$B$10)</f>
      </c>
      <c r="C8" t="str">
        <v>Principal loaded cost / (billable hours x steady-state utilization)</v>
      </c>
    </row>
  </sheetData>
  <ignoredErrors>
    <ignoredError numberStoredAsText="1" sqref="A1:I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42"/>
  <sheetViews>
    <sheetView workbookViewId="0"/>
  </sheetViews>
  <cols>
    <col min="1" max="1" width="48.83203125" customWidth="1"/>
    <col min="2" max="2" width="18.83203125" customWidth="1"/>
    <col min="3" max="3" width="18.83203125" customWidth="1"/>
    <col min="4" max="4" width="40.83203125" customWidth="1"/>
    <col min="5" max="5" width="28.83203125" customWidth="1"/>
    <col min="6" max="6" width="10.83203125" customWidth="1"/>
  </cols>
  <sheetData>
    <row r="1">
      <c r="A1" t="str">
        <v>Customer lifetime value: one assessment-originated account, 36 months</v>
      </c>
    </row>
    <row r="2">
      <c r="A2" t="str">
        <v>Metric</v>
      </c>
      <c r="B2" t="str">
        <v>Value</v>
      </c>
    </row>
    <row r="3">
      <c r="A3" t="str">
        <v>Gross CLV (36 months)</v>
      </c>
      <c r="B3" s="1">
        <f>SUM(G7:G42)</f>
      </c>
    </row>
    <row r="4">
      <c r="A4" t="str">
        <v>Net CLV after Falcon Flex program margin</v>
      </c>
      <c r="B4" s="1">
        <f>B3*(1-Inputs!$B$41*Inputs!$B$42)</f>
      </c>
    </row>
    <row r="6">
      <c r="A6" t="str">
        <v>Month</v>
      </c>
      <c r="B6" t="str">
        <v>Escalator</v>
      </c>
      <c r="C6" t="str">
        <v>Assessment</v>
      </c>
      <c r="D6" t="str">
        <v>Sprint</v>
      </c>
      <c r="E6" t="str">
        <v>Retainer</v>
      </c>
      <c r="F6" t="str">
        <v>Board readout</v>
      </c>
      <c r="G6" t="str">
        <v>Total</v>
      </c>
    </row>
    <row r="7">
      <c r="A7">
        <v>1</v>
      </c>
      <c r="B7" s="5">
        <f>(1+Inputs!$B$40)^(CEILING(A7/12,1)-1)</f>
      </c>
      <c r="C7" s="1">
        <f>Inputs!$B$33*B7</f>
      </c>
      <c r="D7" s="1">
        <f>0</f>
      </c>
      <c r="E7" s="1">
        <f>0</f>
      </c>
      <c r="F7" s="1">
        <f>0</f>
      </c>
      <c r="G7" s="1">
        <f>SUM(C7:F7)</f>
      </c>
    </row>
    <row r="8">
      <c r="A8">
        <v>2</v>
      </c>
      <c r="B8" s="5">
        <f>(1+Inputs!$B$40)^(CEILING(A8/12,1)-1)</f>
      </c>
      <c r="C8" s="1">
        <f>0</f>
      </c>
      <c r="D8" s="1">
        <f>Inputs!$B$54*Inputs!$B$34*4/6*B8</f>
      </c>
      <c r="E8" s="1">
        <f>0</f>
      </c>
      <c r="F8" s="1">
        <f>0</f>
      </c>
      <c r="G8" s="1">
        <f>SUM(C8:F8)</f>
      </c>
    </row>
    <row r="9">
      <c r="A9">
        <v>3</v>
      </c>
      <c r="B9" s="5">
        <f>(1+Inputs!$B$40)^(CEILING(A9/12,1)-1)</f>
      </c>
      <c r="C9" s="1">
        <f>0</f>
      </c>
      <c r="D9" s="1">
        <f>Inputs!$B$54*Inputs!$B$34*2/6*B9</f>
      </c>
      <c r="E9" s="1">
        <f>0</f>
      </c>
      <c r="F9" s="1">
        <f>0</f>
      </c>
      <c r="G9" s="1">
        <f>SUM(C9:F9)</f>
      </c>
    </row>
    <row r="10">
      <c r="A10">
        <v>4</v>
      </c>
      <c r="B10" s="5">
        <f>(1+Inputs!$B$40)^(CEILING(A10/12,1)-1)</f>
      </c>
      <c r="C10" s="1">
        <f>0</f>
      </c>
      <c r="D10" s="1">
        <f>0</f>
      </c>
      <c r="E10" s="1">
        <f>Inputs!$B$54*Inputs!$B$55*Inputs!$B$60^0*Monthly!C$27*B10</f>
      </c>
      <c r="F10" s="1">
        <f>Inputs!$B$54*Inputs!$B$59*Inputs!$B$38*B10</f>
      </c>
      <c r="G10" s="1">
        <f>SUM(C10:F10)</f>
      </c>
    </row>
    <row r="11">
      <c r="A11">
        <v>5</v>
      </c>
      <c r="B11" s="5">
        <f>(1+Inputs!$B$40)^(CEILING(A11/12,1)-1)</f>
      </c>
      <c r="C11" s="1">
        <f>0</f>
      </c>
      <c r="D11" s="1">
        <f>0</f>
      </c>
      <c r="E11" s="1">
        <f>Inputs!$B$54*Inputs!$B$55*Inputs!$B$60^0*Monthly!C$27*B11</f>
      </c>
      <c r="F11" s="1">
        <f>0</f>
      </c>
      <c r="G11" s="1">
        <f>SUM(C11:F11)</f>
      </c>
    </row>
    <row r="12">
      <c r="A12">
        <v>6</v>
      </c>
      <c r="B12" s="5">
        <f>(1+Inputs!$B$40)^(CEILING(A12/12,1)-1)</f>
      </c>
      <c r="C12" s="1">
        <f>0</f>
      </c>
      <c r="D12" s="1">
        <f>0</f>
      </c>
      <c r="E12" s="1">
        <f>Inputs!$B$54*Inputs!$B$55*Inputs!$B$60^0*Monthly!C$27*B12</f>
      </c>
      <c r="F12" s="1">
        <f>0</f>
      </c>
      <c r="G12" s="1">
        <f>SUM(C12:F12)</f>
      </c>
    </row>
    <row r="13">
      <c r="A13">
        <v>7</v>
      </c>
      <c r="B13" s="5">
        <f>(1+Inputs!$B$40)^(CEILING(A13/12,1)-1)</f>
      </c>
      <c r="C13" s="1">
        <f>0</f>
      </c>
      <c r="D13" s="1">
        <f>0</f>
      </c>
      <c r="E13" s="1">
        <f>Inputs!$B$54*Inputs!$B$55*Inputs!$B$60^0*Monthly!C$27*B13</f>
      </c>
      <c r="F13" s="1">
        <f>0</f>
      </c>
      <c r="G13" s="1">
        <f>SUM(C13:F13)</f>
      </c>
    </row>
    <row r="14">
      <c r="A14">
        <v>8</v>
      </c>
      <c r="B14" s="5">
        <f>(1+Inputs!$B$40)^(CEILING(A14/12,1)-1)</f>
      </c>
      <c r="C14" s="1">
        <f>0</f>
      </c>
      <c r="D14" s="1">
        <f>0</f>
      </c>
      <c r="E14" s="1">
        <f>Inputs!$B$54*Inputs!$B$55*Inputs!$B$60^0*Monthly!C$27*B14</f>
      </c>
      <c r="F14" s="1">
        <f>0</f>
      </c>
      <c r="G14" s="1">
        <f>SUM(C14:F14)</f>
      </c>
    </row>
    <row r="15">
      <c r="A15">
        <v>9</v>
      </c>
      <c r="B15" s="5">
        <f>(1+Inputs!$B$40)^(CEILING(A15/12,1)-1)</f>
      </c>
      <c r="C15" s="1">
        <f>0</f>
      </c>
      <c r="D15" s="1">
        <f>0</f>
      </c>
      <c r="E15" s="1">
        <f>Inputs!$B$54*Inputs!$B$55*Inputs!$B$60^0*Monthly!C$27*B15</f>
      </c>
      <c r="F15" s="1">
        <f>0</f>
      </c>
      <c r="G15" s="1">
        <f>SUM(C15:F15)</f>
      </c>
    </row>
    <row r="16">
      <c r="A16">
        <v>10</v>
      </c>
      <c r="B16" s="5">
        <f>(1+Inputs!$B$40)^(CEILING(A16/12,1)-1)</f>
      </c>
      <c r="C16" s="1">
        <f>0</f>
      </c>
      <c r="D16" s="1">
        <f>0</f>
      </c>
      <c r="E16" s="1">
        <f>Inputs!$B$54*Inputs!$B$55*Inputs!$B$60^0*Monthly!C$27*B16</f>
      </c>
      <c r="F16" s="1">
        <f>0</f>
      </c>
      <c r="G16" s="1">
        <f>SUM(C16:F16)</f>
      </c>
    </row>
    <row r="17">
      <c r="A17">
        <v>11</v>
      </c>
      <c r="B17" s="5">
        <f>(1+Inputs!$B$40)^(CEILING(A17/12,1)-1)</f>
      </c>
      <c r="C17" s="1">
        <f>0</f>
      </c>
      <c r="D17" s="1">
        <f>0</f>
      </c>
      <c r="E17" s="1">
        <f>Inputs!$B$54*Inputs!$B$55*Inputs!$B$60^0*Monthly!C$27*B17</f>
      </c>
      <c r="F17" s="1">
        <f>0</f>
      </c>
      <c r="G17" s="1">
        <f>SUM(C17:F17)</f>
      </c>
    </row>
    <row r="18">
      <c r="A18">
        <v>12</v>
      </c>
      <c r="B18" s="5">
        <f>(1+Inputs!$B$40)^(CEILING(A18/12,1)-1)</f>
      </c>
      <c r="C18" s="1">
        <f>0</f>
      </c>
      <c r="D18" s="1">
        <f>0</f>
      </c>
      <c r="E18" s="1">
        <f>Inputs!$B$54*Inputs!$B$55*Inputs!$B$60^0*Monthly!C$27*B18</f>
      </c>
      <c r="F18" s="1">
        <f>0</f>
      </c>
      <c r="G18" s="1">
        <f>SUM(C18:F18)</f>
      </c>
    </row>
    <row r="19">
      <c r="A19">
        <v>13</v>
      </c>
      <c r="B19" s="5">
        <f>(1+Inputs!$B$40)^(CEILING(A19/12,1)-1)</f>
      </c>
      <c r="C19" s="1">
        <f>0</f>
      </c>
      <c r="D19" s="1">
        <f>0</f>
      </c>
      <c r="E19" s="1">
        <f>Inputs!$B$54*Inputs!$B$55*Inputs!$B$60^0*Monthly!C$27*B19</f>
      </c>
      <c r="F19" s="1">
        <f>0</f>
      </c>
      <c r="G19" s="1">
        <f>SUM(C19:F19)</f>
      </c>
    </row>
    <row r="20">
      <c r="A20">
        <v>14</v>
      </c>
      <c r="B20" s="5">
        <f>(1+Inputs!$B$40)^(CEILING(A20/12,1)-1)</f>
      </c>
      <c r="C20" s="1">
        <f>0</f>
      </c>
      <c r="D20" s="1">
        <f>0</f>
      </c>
      <c r="E20" s="1">
        <f>Inputs!$B$54*Inputs!$B$55*Inputs!$B$60^0*Monthly!C$27*B20</f>
      </c>
      <c r="F20" s="1">
        <f>0</f>
      </c>
      <c r="G20" s="1">
        <f>SUM(C20:F20)</f>
      </c>
    </row>
    <row r="21">
      <c r="A21">
        <v>15</v>
      </c>
      <c r="B21" s="5">
        <f>(1+Inputs!$B$40)^(CEILING(A21/12,1)-1)</f>
      </c>
      <c r="C21" s="1">
        <f>0</f>
      </c>
      <c r="D21" s="1">
        <f>0</f>
      </c>
      <c r="E21" s="1">
        <f>Inputs!$B$54*Inputs!$B$55*Inputs!$B$60^0*Monthly!C$27*B21</f>
      </c>
      <c r="F21" s="1">
        <f>0</f>
      </c>
      <c r="G21" s="1">
        <f>SUM(C21:F21)</f>
      </c>
    </row>
    <row r="22">
      <c r="A22">
        <v>16</v>
      </c>
      <c r="B22" s="5">
        <f>(1+Inputs!$B$40)^(CEILING(A22/12,1)-1)</f>
      </c>
      <c r="C22" s="1">
        <f>0</f>
      </c>
      <c r="D22" s="1">
        <f>0</f>
      </c>
      <c r="E22" s="1">
        <f>Inputs!$B$54*Inputs!$B$55*Inputs!$B$60^1*Monthly!C$27*B22</f>
      </c>
      <c r="F22" s="1">
        <f>Inputs!$B$54*Inputs!$B$55*Inputs!$B$60^1*Inputs!$B$59*Inputs!$B$38*B22</f>
      </c>
      <c r="G22" s="1">
        <f>SUM(C22:F22)</f>
      </c>
    </row>
    <row r="23">
      <c r="A23">
        <v>17</v>
      </c>
      <c r="B23" s="5">
        <f>(1+Inputs!$B$40)^(CEILING(A23/12,1)-1)</f>
      </c>
      <c r="C23" s="1">
        <f>0</f>
      </c>
      <c r="D23" s="1">
        <f>0</f>
      </c>
      <c r="E23" s="1">
        <f>Inputs!$B$54*Inputs!$B$55*Inputs!$B$60^1*Monthly!C$27*B23</f>
      </c>
      <c r="F23" s="1">
        <f>0</f>
      </c>
      <c r="G23" s="1">
        <f>SUM(C23:F23)</f>
      </c>
    </row>
    <row r="24">
      <c r="A24">
        <v>18</v>
      </c>
      <c r="B24" s="5">
        <f>(1+Inputs!$B$40)^(CEILING(A24/12,1)-1)</f>
      </c>
      <c r="C24" s="1">
        <f>0</f>
      </c>
      <c r="D24" s="1">
        <f>0</f>
      </c>
      <c r="E24" s="1">
        <f>Inputs!$B$54*Inputs!$B$55*Inputs!$B$60^1*Monthly!C$27*B24</f>
      </c>
      <c r="F24" s="1">
        <f>0</f>
      </c>
      <c r="G24" s="1">
        <f>SUM(C24:F24)</f>
      </c>
    </row>
    <row r="25">
      <c r="A25">
        <v>19</v>
      </c>
      <c r="B25" s="5">
        <f>(1+Inputs!$B$40)^(CEILING(A25/12,1)-1)</f>
      </c>
      <c r="C25" s="1">
        <f>0</f>
      </c>
      <c r="D25" s="1">
        <f>0</f>
      </c>
      <c r="E25" s="1">
        <f>Inputs!$B$54*Inputs!$B$55*Inputs!$B$60^1*Monthly!C$27*B25</f>
      </c>
      <c r="F25" s="1">
        <f>0</f>
      </c>
      <c r="G25" s="1">
        <f>SUM(C25:F25)</f>
      </c>
    </row>
    <row r="26">
      <c r="A26">
        <v>20</v>
      </c>
      <c r="B26" s="5">
        <f>(1+Inputs!$B$40)^(CEILING(A26/12,1)-1)</f>
      </c>
      <c r="C26" s="1">
        <f>0</f>
      </c>
      <c r="D26" s="1">
        <f>0</f>
      </c>
      <c r="E26" s="1">
        <f>Inputs!$B$54*Inputs!$B$55*Inputs!$B$60^1*Monthly!C$27*B26</f>
      </c>
      <c r="F26" s="1">
        <f>0</f>
      </c>
      <c r="G26" s="1">
        <f>SUM(C26:F26)</f>
      </c>
    </row>
    <row r="27">
      <c r="A27">
        <v>21</v>
      </c>
      <c r="B27" s="5">
        <f>(1+Inputs!$B$40)^(CEILING(A27/12,1)-1)</f>
      </c>
      <c r="C27" s="1">
        <f>0</f>
      </c>
      <c r="D27" s="1">
        <f>0</f>
      </c>
      <c r="E27" s="1">
        <f>Inputs!$B$54*Inputs!$B$55*Inputs!$B$60^1*Monthly!C$27*B27</f>
      </c>
      <c r="F27" s="1">
        <f>0</f>
      </c>
      <c r="G27" s="1">
        <f>SUM(C27:F27)</f>
      </c>
    </row>
    <row r="28">
      <c r="A28">
        <v>22</v>
      </c>
      <c r="B28" s="5">
        <f>(1+Inputs!$B$40)^(CEILING(A28/12,1)-1)</f>
      </c>
      <c r="C28" s="1">
        <f>0</f>
      </c>
      <c r="D28" s="1">
        <f>0</f>
      </c>
      <c r="E28" s="1">
        <f>Inputs!$B$54*Inputs!$B$55*Inputs!$B$60^1*Monthly!C$27*B28</f>
      </c>
      <c r="F28" s="1">
        <f>0</f>
      </c>
      <c r="G28" s="1">
        <f>SUM(C28:F28)</f>
      </c>
    </row>
    <row r="29">
      <c r="A29">
        <v>23</v>
      </c>
      <c r="B29" s="5">
        <f>(1+Inputs!$B$40)^(CEILING(A29/12,1)-1)</f>
      </c>
      <c r="C29" s="1">
        <f>0</f>
      </c>
      <c r="D29" s="1">
        <f>0</f>
      </c>
      <c r="E29" s="1">
        <f>Inputs!$B$54*Inputs!$B$55*Inputs!$B$60^1*Monthly!C$27*B29</f>
      </c>
      <c r="F29" s="1">
        <f>0</f>
      </c>
      <c r="G29" s="1">
        <f>SUM(C29:F29)</f>
      </c>
    </row>
    <row r="30">
      <c r="A30">
        <v>24</v>
      </c>
      <c r="B30" s="5">
        <f>(1+Inputs!$B$40)^(CEILING(A30/12,1)-1)</f>
      </c>
      <c r="C30" s="1">
        <f>0</f>
      </c>
      <c r="D30" s="1">
        <f>0</f>
      </c>
      <c r="E30" s="1">
        <f>Inputs!$B$54*Inputs!$B$55*Inputs!$B$60^1*Monthly!C$27*B30</f>
      </c>
      <c r="F30" s="1">
        <f>0</f>
      </c>
      <c r="G30" s="1">
        <f>SUM(C30:F30)</f>
      </c>
    </row>
    <row r="31">
      <c r="A31">
        <v>25</v>
      </c>
      <c r="B31" s="5">
        <f>(1+Inputs!$B$40)^(CEILING(A31/12,1)-1)</f>
      </c>
      <c r="C31" s="1">
        <f>0</f>
      </c>
      <c r="D31" s="1">
        <f>0</f>
      </c>
      <c r="E31" s="1">
        <f>Inputs!$B$54*Inputs!$B$55*Inputs!$B$60^1*Monthly!C$27*B31</f>
      </c>
      <c r="F31" s="1">
        <f>0</f>
      </c>
      <c r="G31" s="1">
        <f>SUM(C31:F31)</f>
      </c>
    </row>
    <row r="32">
      <c r="A32">
        <v>26</v>
      </c>
      <c r="B32" s="5">
        <f>(1+Inputs!$B$40)^(CEILING(A32/12,1)-1)</f>
      </c>
      <c r="C32" s="1">
        <f>0</f>
      </c>
      <c r="D32" s="1">
        <f>0</f>
      </c>
      <c r="E32" s="1">
        <f>Inputs!$B$54*Inputs!$B$55*Inputs!$B$60^1*Monthly!C$27*B32</f>
      </c>
      <c r="F32" s="1">
        <f>0</f>
      </c>
      <c r="G32" s="1">
        <f>SUM(C32:F32)</f>
      </c>
    </row>
    <row r="33">
      <c r="A33">
        <v>27</v>
      </c>
      <c r="B33" s="5">
        <f>(1+Inputs!$B$40)^(CEILING(A33/12,1)-1)</f>
      </c>
      <c r="C33" s="1">
        <f>0</f>
      </c>
      <c r="D33" s="1">
        <f>0</f>
      </c>
      <c r="E33" s="1">
        <f>Inputs!$B$54*Inputs!$B$55*Inputs!$B$60^1*Monthly!C$27*B33</f>
      </c>
      <c r="F33" s="1">
        <f>0</f>
      </c>
      <c r="G33" s="1">
        <f>SUM(C33:F33)</f>
      </c>
    </row>
    <row r="34">
      <c r="A34">
        <v>28</v>
      </c>
      <c r="B34" s="5">
        <f>(1+Inputs!$B$40)^(CEILING(A34/12,1)-1)</f>
      </c>
      <c r="C34" s="1">
        <f>0</f>
      </c>
      <c r="D34" s="1">
        <f>0</f>
      </c>
      <c r="E34" s="1">
        <f>Inputs!$B$54*Inputs!$B$55*Inputs!$B$60^2*Monthly!C$27*B34</f>
      </c>
      <c r="F34" s="1">
        <f>Inputs!$B$54*Inputs!$B$55*Inputs!$B$60^2*Inputs!$B$59*Inputs!$B$38*B34</f>
      </c>
      <c r="G34" s="1">
        <f>SUM(C34:F34)</f>
      </c>
    </row>
    <row r="35">
      <c r="A35">
        <v>29</v>
      </c>
      <c r="B35" s="5">
        <f>(1+Inputs!$B$40)^(CEILING(A35/12,1)-1)</f>
      </c>
      <c r="C35" s="1">
        <f>0</f>
      </c>
      <c r="D35" s="1">
        <f>0</f>
      </c>
      <c r="E35" s="1">
        <f>Inputs!$B$54*Inputs!$B$55*Inputs!$B$60^2*Monthly!C$27*B35</f>
      </c>
      <c r="F35" s="1">
        <f>0</f>
      </c>
      <c r="G35" s="1">
        <f>SUM(C35:F35)</f>
      </c>
    </row>
    <row r="36">
      <c r="A36">
        <v>30</v>
      </c>
      <c r="B36" s="5">
        <f>(1+Inputs!$B$40)^(CEILING(A36/12,1)-1)</f>
      </c>
      <c r="C36" s="1">
        <f>0</f>
      </c>
      <c r="D36" s="1">
        <f>0</f>
      </c>
      <c r="E36" s="1">
        <f>Inputs!$B$54*Inputs!$B$55*Inputs!$B$60^2*Monthly!C$27*B36</f>
      </c>
      <c r="F36" s="1">
        <f>0</f>
      </c>
      <c r="G36" s="1">
        <f>SUM(C36:F36)</f>
      </c>
    </row>
    <row r="37">
      <c r="A37">
        <v>31</v>
      </c>
      <c r="B37" s="5">
        <f>(1+Inputs!$B$40)^(CEILING(A37/12,1)-1)</f>
      </c>
      <c r="C37" s="1">
        <f>0</f>
      </c>
      <c r="D37" s="1">
        <f>0</f>
      </c>
      <c r="E37" s="1">
        <f>Inputs!$B$54*Inputs!$B$55*Inputs!$B$60^2*Monthly!C$27*B37</f>
      </c>
      <c r="F37" s="1">
        <f>0</f>
      </c>
      <c r="G37" s="1">
        <f>SUM(C37:F37)</f>
      </c>
    </row>
    <row r="38">
      <c r="A38">
        <v>32</v>
      </c>
      <c r="B38" s="5">
        <f>(1+Inputs!$B$40)^(CEILING(A38/12,1)-1)</f>
      </c>
      <c r="C38" s="1">
        <f>0</f>
      </c>
      <c r="D38" s="1">
        <f>0</f>
      </c>
      <c r="E38" s="1">
        <f>Inputs!$B$54*Inputs!$B$55*Inputs!$B$60^2*Monthly!C$27*B38</f>
      </c>
      <c r="F38" s="1">
        <f>0</f>
      </c>
      <c r="G38" s="1">
        <f>SUM(C38:F38)</f>
      </c>
    </row>
    <row r="39">
      <c r="A39">
        <v>33</v>
      </c>
      <c r="B39" s="5">
        <f>(1+Inputs!$B$40)^(CEILING(A39/12,1)-1)</f>
      </c>
      <c r="C39" s="1">
        <f>0</f>
      </c>
      <c r="D39" s="1">
        <f>0</f>
      </c>
      <c r="E39" s="1">
        <f>Inputs!$B$54*Inputs!$B$55*Inputs!$B$60^2*Monthly!C$27*B39</f>
      </c>
      <c r="F39" s="1">
        <f>0</f>
      </c>
      <c r="G39" s="1">
        <f>SUM(C39:F39)</f>
      </c>
    </row>
    <row r="40">
      <c r="A40">
        <v>34</v>
      </c>
      <c r="B40" s="5">
        <f>(1+Inputs!$B$40)^(CEILING(A40/12,1)-1)</f>
      </c>
      <c r="C40" s="1">
        <f>0</f>
      </c>
      <c r="D40" s="1">
        <f>0</f>
      </c>
      <c r="E40" s="1">
        <f>Inputs!$B$54*Inputs!$B$55*Inputs!$B$60^2*Monthly!C$27*B40</f>
      </c>
      <c r="F40" s="1">
        <f>0</f>
      </c>
      <c r="G40" s="1">
        <f>SUM(C40:F40)</f>
      </c>
    </row>
    <row r="41">
      <c r="A41">
        <v>35</v>
      </c>
      <c r="B41" s="5">
        <f>(1+Inputs!$B$40)^(CEILING(A41/12,1)-1)</f>
      </c>
      <c r="C41" s="1">
        <f>0</f>
      </c>
      <c r="D41" s="1">
        <f>0</f>
      </c>
      <c r="E41" s="1">
        <f>Inputs!$B$54*Inputs!$B$55*Inputs!$B$60^2*Monthly!C$27*B41</f>
      </c>
      <c r="F41" s="1">
        <f>0</f>
      </c>
      <c r="G41" s="1">
        <f>SUM(C41:F41)</f>
      </c>
    </row>
    <row r="42">
      <c r="A42">
        <v>36</v>
      </c>
      <c r="B42" s="5">
        <f>(1+Inputs!$B$40)^(CEILING(A42/12,1)-1)</f>
      </c>
      <c r="C42" s="1">
        <f>0</f>
      </c>
      <c r="D42" s="1">
        <f>0</f>
      </c>
      <c r="E42" s="1">
        <f>Inputs!$B$54*Inputs!$B$55*Inputs!$B$60^2*Monthly!C$27*B42</f>
      </c>
      <c r="F42" s="1">
        <f>0</f>
      </c>
      <c r="G42" s="1">
        <f>SUM(C42:F42)</f>
      </c>
    </row>
  </sheetData>
  <ignoredErrors>
    <ignoredError numberStoredAsText="1" sqref="A1:G4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cols>
    <col min="1" max="1" width="48.83203125" customWidth="1"/>
    <col min="2" max="2" width="18.83203125" customWidth="1"/>
    <col min="3" max="3" width="18.83203125" customWidth="1"/>
    <col min="4" max="4" width="40.83203125" customWidth="1"/>
    <col min="5" max="5" width="28.83203125" customWidth="1"/>
    <col min="6" max="6" width="10.83203125" customWidth="1"/>
  </cols>
  <sheetData>
    <row r="1">
      <c r="A1" t="str">
        <v>Check</v>
      </c>
      <c r="B1" t="str">
        <v>Result</v>
      </c>
      <c r="C1" t="str">
        <v>Detail</v>
      </c>
    </row>
    <row r="2">
      <c r="A2" t="str">
        <v>No negative gross margin after month 6</v>
      </c>
      <c r="B2">
        <f>IF(MIN(Monthly!I$71:AL$71)&gt;=0,"PASS","FAIL")</f>
      </c>
      <c r="C2" t="str">
        <v>Minimum monthly gross margin, months 7-36:</v>
      </c>
      <c r="D2" s="1">
        <f>MIN(Monthly!I$71:AL$71)</f>
      </c>
    </row>
    <row r="3">
      <c r="A3" t="str">
        <v>Delivered project hours never exceed advisor plus bench capacity</v>
      </c>
      <c r="B3">
        <f>IF(SUMPRODUCT((Monthly!C$43:AL$43&gt;Monthly!C$41:AL$41+0.000001)*1)=0,"PASS","FAIL")</f>
      </c>
      <c r="C3" t="str">
        <v>Count of months over capacity:</v>
      </c>
      <c r="D3" s="2">
        <f>SUMPRODUCT((Monthly!C$43:AL$43&gt;Monthly!C$41:AL$41+0.000001)*1)</f>
      </c>
    </row>
    <row r="4">
      <c r="A4" t="str">
        <v>Utilization never exceeds steady-state ceiling</v>
      </c>
      <c r="B4">
        <f>IF(MAX(Monthly!C$54:AL$54)&lt;=Inputs!$B$10+0.000000001,"PASS","FAIL")</f>
      </c>
      <c r="C4" t="str">
        <v>Maximum realized utilization:</v>
      </c>
      <c r="D4" s="3">
        <f>MAX(Monthly!C$54:AL$54)</f>
      </c>
    </row>
    <row r="5">
      <c r="A5" t="str">
        <v>Headcount never exceeds cap</v>
      </c>
      <c r="B5">
        <f>IF(MAX(Monthly!C$7:AL$7)&lt;=Inputs!$B$13,"PASS","FAIL")</f>
      </c>
      <c r="C5" t="str">
        <v>Maximum advisors:</v>
      </c>
      <c r="D5" s="2">
        <f>MAX(Monthly!C$7:AL$7)</f>
      </c>
    </row>
    <row r="6">
      <c r="A6" t="str">
        <v>Cash reconciles to EBITDA less receivables</v>
      </c>
      <c r="B6">
        <f>IF(ABS(SUM(Monthly!C$82:AL$82)-(SUM(Monthly!C$66:AL$66)-SUM(Monthly!C$84:AL$84))-SUM(Monthly!C$86:AL$86))&lt;0.01,"PASS","FAIL")</f>
      </c>
      <c r="C6" t="str">
        <v>Difference:</v>
      </c>
      <c r="D6" s="4">
        <f>SUM(Monthly!C$82:AL$82)-(SUM(Monthly!C$66:AL$66)-SUM(Monthly!C$84:AL$84))-SUM(Monthly!C$86:AL$86)</f>
      </c>
    </row>
    <row r="7">
      <c r="A7" t="str">
        <v>Tier mix sums to 100%</v>
      </c>
      <c r="B7">
        <f>IF(ABS(Inputs!$B$56+Inputs!$B$57+Inputs!$B$58-1)&lt;0.000000001,"PASS","FAIL")</f>
      </c>
      <c r="C7" t="str">
        <v>Tier mix total:</v>
      </c>
      <c r="D7" s="3">
        <f>Inputs!$B$56+Inputs!$B$57+Inputs!$B$58</f>
      </c>
    </row>
  </sheetData>
  <ignoredErrors>
    <ignoredError numberStoredAsText="1" sqref="A1:D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cols>
    <col min="1" max="1" width="48.83203125" customWidth="1"/>
    <col min="2" max="2" width="18.83203125" customWidth="1"/>
    <col min="3" max="3" width="18.83203125" customWidth="1"/>
    <col min="4" max="4" width="40.83203125" customWidth="1"/>
    <col min="5" max="5" width="28.83203125" customWidth="1"/>
    <col min="6" max="6" width="10.83203125" customWidth="1"/>
  </cols>
  <sheetData>
    <row r="1">
      <c r="A1" t="str">
        <v>Scenario snapshot (values computed by model/fairr-model.ts; the Inputs sheet drives the live Monthly model for one scenario at a time)</v>
      </c>
    </row>
    <row r="2">
      <c r="A2" t="str">
        <v>Metric</v>
      </c>
      <c r="B2" t="str">
        <v>Base</v>
      </c>
      <c r="C2" t="str">
        <v>Downside</v>
      </c>
      <c r="D2" t="str">
        <v>Upside</v>
      </c>
      <c r="E2" t="str">
        <v>GSI price war</v>
      </c>
    </row>
    <row r="3">
      <c r="A3" t="str">
        <v>Year 1 gross revenue</v>
      </c>
      <c r="B3" s="1">
        <v>1861165.2906756557</v>
      </c>
      <c r="C3" s="1">
        <v>1590552.1680902727</v>
      </c>
      <c r="D3" s="1">
        <v>2039611.691682333</v>
      </c>
      <c r="E3" s="1">
        <v>1488932.2325405248</v>
      </c>
    </row>
    <row r="4">
      <c r="A4" t="str">
        <v>Year 2 gross revenue</v>
      </c>
      <c r="B4" s="1">
        <v>4228392.848270532</v>
      </c>
      <c r="C4" s="1">
        <v>4076252.6142868157</v>
      </c>
      <c r="D4" s="1">
        <v>4338412.4576336695</v>
      </c>
      <c r="E4" s="1">
        <v>3382714.278616425</v>
      </c>
    </row>
    <row r="5">
      <c r="A5" t="str">
        <v>Year 3 gross revenue</v>
      </c>
      <c r="B5" s="1">
        <v>7148186.3633443825</v>
      </c>
      <c r="C5" s="1">
        <v>6879792.742868883</v>
      </c>
      <c r="D5" s="1">
        <v>7193851.45925154</v>
      </c>
      <c r="E5" s="1">
        <v>5718549.090675506</v>
      </c>
    </row>
    <row r="6">
      <c r="A6" t="str">
        <v>Year 1 EBITDA</v>
      </c>
      <c r="B6" s="1">
        <v>101686.20605279562</v>
      </c>
      <c r="C6" s="1">
        <v>-67302.38883601759</v>
      </c>
      <c r="D6" s="1">
        <v>239232.69194874237</v>
      </c>
      <c r="E6" s="1">
        <v>-145331.03515776343</v>
      </c>
    </row>
    <row r="7">
      <c r="A7" t="str">
        <v>Year 2 EBITDA</v>
      </c>
      <c r="B7" s="1">
        <v>938590.5407802587</v>
      </c>
      <c r="C7" s="1">
        <v>821320.8484256105</v>
      </c>
      <c r="D7" s="1">
        <v>1023393.6556773655</v>
      </c>
      <c r="E7" s="1">
        <v>467249.0992908738</v>
      </c>
    </row>
    <row r="8">
      <c r="A8" t="str">
        <v>Year 3 EBITDA</v>
      </c>
      <c r="B8" s="1">
        <v>1872341.9155325163</v>
      </c>
      <c r="C8" s="1">
        <v>1665464.1128699994</v>
      </c>
      <c r="D8" s="1">
        <v>1907540.5714577525</v>
      </c>
      <c r="E8" s="1">
        <v>1122816.8657593466</v>
      </c>
    </row>
    <row r="9">
      <c r="A9" t="str">
        <v>Cash break-even month</v>
      </c>
      <c r="B9" s="2">
        <v>19</v>
      </c>
      <c r="C9" s="2">
        <v>22</v>
      </c>
      <c r="D9" s="2">
        <v>15</v>
      </c>
      <c r="E9" s="2">
        <v>28</v>
      </c>
    </row>
    <row r="10">
      <c r="A10" t="str">
        <v>Peak funding requirement</v>
      </c>
      <c r="B10" s="1">
        <v>311626.959591519</v>
      </c>
      <c r="C10" s="1">
        <v>432417.9945424651</v>
      </c>
      <c r="D10" s="1">
        <v>291795.5722017243</v>
      </c>
      <c r="E10" s="1">
        <v>415852.8287359943</v>
      </c>
    </row>
    <row r="11">
      <c r="A11" t="str">
        <v>Investment ask</v>
      </c>
      <c r="B11" s="1">
        <v>375000</v>
      </c>
      <c r="C11" s="1">
        <v>525000</v>
      </c>
      <c r="D11" s="1">
        <v>375000</v>
      </c>
      <c r="E11" s="1">
        <v>500000</v>
      </c>
    </row>
    <row r="12">
      <c r="A12" t="str">
        <v>Ending advisors</v>
      </c>
      <c r="B12" s="2">
        <v>5</v>
      </c>
      <c r="C12" s="2">
        <v>5</v>
      </c>
      <c r="D12" s="2">
        <v>5</v>
      </c>
      <c r="E12" s="2">
        <v>5</v>
      </c>
    </row>
    <row r="13">
      <c r="A13" t="str">
        <v>Assessments declined</v>
      </c>
      <c r="B13" s="4">
        <v>112.8125</v>
      </c>
      <c r="C13" s="4">
        <v>64.25</v>
      </c>
      <c r="D13" s="4">
        <v>226.125</v>
      </c>
      <c r="E13" s="4">
        <v>112.8125</v>
      </c>
    </row>
    <row r="14">
      <c r="A14" t="str">
        <v>Revenue left on the table</v>
      </c>
      <c r="B14" s="1">
        <v>60195950.342582434</v>
      </c>
      <c r="C14" s="1">
        <v>22710038.10928001</v>
      </c>
      <c r="D14" s="1">
        <v>120658697.14097688</v>
      </c>
      <c r="E14" s="1">
        <v>48156760.27406593</v>
      </c>
    </row>
  </sheetData>
  <ignoredErrors>
    <ignoredError numberStoredAsText="1" sqref="A1:E1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cols>
    <col min="1" max="1" width="48.83203125" customWidth="1"/>
    <col min="2" max="2" width="18.83203125" customWidth="1"/>
    <col min="3" max="3" width="18.83203125" customWidth="1"/>
    <col min="4" max="4" width="40.83203125" customWidth="1"/>
    <col min="5" max="5" width="28.83203125" customWidth="1"/>
    <col min="6" max="6" width="10.83203125" customWidth="1"/>
  </cols>
  <sheetData>
    <row r="1">
      <c r="A1" t="str">
        <v>Tornado sensitivity on EBITDA Year 2 (values computed by model/fairr-model.ts)</v>
      </c>
    </row>
    <row r="2">
      <c r="A2" t="str">
        <v>Base EBITDA Year 2</v>
      </c>
      <c r="B2" s="1">
        <v>938590.5407802587</v>
      </c>
    </row>
    <row r="3">
      <c r="A3" t="str">
        <v>Input</v>
      </c>
      <c r="B3" t="str">
        <v>Base value</v>
      </c>
      <c r="C3" t="str">
        <v>Low value</v>
      </c>
      <c r="D3" t="str">
        <v>High value</v>
      </c>
      <c r="E3" t="str">
        <v>EBITDA Y2 at low</v>
      </c>
      <c r="F3" t="str">
        <v>EBITDA Y2 at high</v>
      </c>
      <c r="G3" t="str">
        <v>Swing</v>
      </c>
    </row>
    <row r="4">
      <c r="A4" t="str">
        <v>Falcon Complete add-on price</v>
      </c>
      <c r="B4" s="4">
        <v>9500</v>
      </c>
      <c r="C4" s="4">
        <v>7600</v>
      </c>
      <c r="D4" s="4">
        <v>11400</v>
      </c>
      <c r="E4" s="1">
        <v>721568.8319802587</v>
      </c>
      <c r="F4" s="1">
        <v>1155612.2495802587</v>
      </c>
      <c r="G4" s="1">
        <v>434043.41760000004</v>
      </c>
    </row>
    <row r="5">
      <c r="A5" t="str">
        <v>Add-on delivery cost share</v>
      </c>
      <c r="B5" s="4">
        <v>0.35</v>
      </c>
      <c r="C5" s="4">
        <v>0.27999999999999997</v>
      </c>
      <c r="D5" s="4">
        <v>0.42</v>
      </c>
      <c r="E5" s="1">
        <v>1119098.1407802587</v>
      </c>
      <c r="F5" s="1">
        <v>758082.9407802587</v>
      </c>
      <c r="G5" s="1">
        <v>361015.19999999995</v>
      </c>
    </row>
    <row r="6">
      <c r="A6" t="str">
        <v>Steady-state utilization</v>
      </c>
      <c r="B6" s="4">
        <v>0.75</v>
      </c>
      <c r="C6" s="4">
        <v>0.65</v>
      </c>
      <c r="D6" s="4">
        <v>0.85</v>
      </c>
      <c r="E6" s="1">
        <v>781875.8880320786</v>
      </c>
      <c r="F6" s="1">
        <v>1137065.027148519</v>
      </c>
      <c r="G6" s="1">
        <v>355189.1391164403</v>
      </c>
    </row>
    <row r="7">
      <c r="A7" t="str">
        <v>Retainer tier pricing (all tiers)</v>
      </c>
      <c r="B7" s="4">
        <v>38000</v>
      </c>
      <c r="C7" s="4">
        <v>30400</v>
      </c>
      <c r="D7" s="4">
        <v>45600</v>
      </c>
      <c r="E7" s="1">
        <v>796332.8818564012</v>
      </c>
      <c r="F7" s="1">
        <v>1080848.1997041164</v>
      </c>
      <c r="G7" s="1">
        <v>284515.3178477152</v>
      </c>
    </row>
    <row r="8">
      <c r="A8" t="str">
        <v>Principal Advisor loaded cost</v>
      </c>
      <c r="B8" s="4">
        <v>265000</v>
      </c>
      <c r="C8" s="4">
        <v>212000</v>
      </c>
      <c r="D8" s="4">
        <v>318000</v>
      </c>
      <c r="E8" s="1">
        <v>1044590.5407802586</v>
      </c>
      <c r="F8" s="1">
        <v>832590.5407802585</v>
      </c>
      <c r="G8" s="1">
        <v>212000.00000000012</v>
      </c>
    </row>
    <row r="9">
      <c r="A9" t="str">
        <v>Falcon Complete add-on customers by month 24</v>
      </c>
      <c r="B9" s="4">
        <v>30</v>
      </c>
      <c r="C9" s="4">
        <v>24</v>
      </c>
      <c r="D9" s="4">
        <v>36</v>
      </c>
      <c r="E9" s="1">
        <v>837438.5403947486</v>
      </c>
      <c r="F9" s="1">
        <v>1039661.0178060358</v>
      </c>
      <c r="G9" s="1">
        <v>202222.47741128725</v>
      </c>
    </row>
    <row r="10">
      <c r="A10" t="str">
        <v>Sales/SE overhead % of revenue</v>
      </c>
      <c r="B10" s="4">
        <v>0.12</v>
      </c>
      <c r="C10" s="4">
        <v>0.096</v>
      </c>
      <c r="D10" s="4">
        <v>0.144</v>
      </c>
      <c r="E10" s="1">
        <v>1033983.0834372418</v>
      </c>
      <c r="F10" s="1">
        <v>843197.9981232756</v>
      </c>
      <c r="G10" s="1">
        <v>190785.08531396626</v>
      </c>
    </row>
    <row r="11">
      <c r="A11" t="str">
        <v>Sprint price</v>
      </c>
      <c r="B11" s="4">
        <v>140000</v>
      </c>
      <c r="C11" s="4">
        <v>112000</v>
      </c>
      <c r="D11" s="4">
        <v>168000</v>
      </c>
      <c r="E11" s="1">
        <v>882800.4601330992</v>
      </c>
      <c r="F11" s="1">
        <v>994380.6214274183</v>
      </c>
      <c r="G11" s="1">
        <v>111580.16129431908</v>
      </c>
    </row>
    <row r="12">
      <c r="A12" t="str">
        <v>Internal bench hours per month</v>
      </c>
      <c r="B12" s="4">
        <v>240</v>
      </c>
      <c r="C12" s="4">
        <v>192</v>
      </c>
      <c r="D12" s="4">
        <v>288</v>
      </c>
      <c r="E12" s="1">
        <v>883373.813141925</v>
      </c>
      <c r="F12" s="1">
        <v>993509.3376925061</v>
      </c>
      <c r="G12" s="1">
        <v>110135.52455058112</v>
      </c>
    </row>
    <row r="13">
      <c r="A13" t="str">
        <v>Assessment price</v>
      </c>
      <c r="B13" s="4">
        <v>85000</v>
      </c>
      <c r="C13" s="4">
        <v>68000</v>
      </c>
      <c r="D13" s="4">
        <v>102000</v>
      </c>
      <c r="E13" s="1">
        <v>888293.5328728379</v>
      </c>
      <c r="F13" s="1">
        <v>988887.5486876797</v>
      </c>
      <c r="G13" s="1">
        <v>100594.01581484184</v>
      </c>
    </row>
  </sheetData>
  <ignoredErrors>
    <ignoredError numberStoredAsText="1" sqref="A1:G1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cols>
    <col min="1" max="1" width="48.83203125" customWidth="1"/>
    <col min="2" max="2" width="18.83203125" customWidth="1"/>
    <col min="3" max="3" width="18.83203125" customWidth="1"/>
    <col min="4" max="4" width="40.83203125" customWidth="1"/>
    <col min="5" max="5" width="28.83203125" customWidth="1"/>
    <col min="6" max="6" width="10.83203125" customWidth="1"/>
  </cols>
  <sheetData>
    <row r="1">
      <c r="A1" t="str">
        <v>Optiv FAIRR practice financial model</v>
      </c>
    </row>
    <row r="2">
      <c r="A2" t="str">
        <v>Generated from model/fairr-model.ts; every sheet except Scenarios and Tornado is driven by live formulas from the Inputs sheet.</v>
      </c>
    </row>
    <row r="3">
      <c r="A3" t="str">
        <v>Edit yellow-basis values on the Inputs sheet to re-run the model. Rows labeled ASSUMPTION are not sourced; see model/ASSUMPTIONS.md.</v>
      </c>
    </row>
    <row r="4">
      <c r="A4" t="str">
        <v>Monthly: one column per month (M1..M36). Annual and Summary roll up the Monthly sheet. Checks reproduces model/VALIDATION.md.</v>
      </c>
    </row>
    <row r="5">
      <c r="A5" t="str">
        <v>Advisor headcount cap in this workbook is the maxAdvisors input; the hiring rule fires when trailing utilization &gt;= threshold and backlog &gt; threshold, with a recruiting lag and cooldown.</v>
      </c>
    </row>
    <row r="6">
      <c r="A6" t="str">
        <v>The TypeScript model and this workbook are reconciled by model/validate.ts using the HyperFormula engine (see model/VALIDATION.md).</v>
      </c>
    </row>
  </sheetData>
  <ignoredErrors>
    <ignoredError numberStoredAsText="1" sqref="A1:A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Inputs</vt:lpstr>
      <vt:lpstr>Monthly</vt:lpstr>
      <vt:lpstr>Annual</vt:lpstr>
      <vt:lpstr>Summary</vt:lpstr>
      <vt:lpstr>UnitEconomics</vt:lpstr>
      <vt:lpstr>CLV</vt:lpstr>
      <vt:lpstr>Checks</vt:lpstr>
      <vt:lpstr>Scenarios</vt:lpstr>
      <vt:lpstr>Tornado</vt:lpstr>
      <vt:lpstr>ReadMe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